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nty Plans" sheetId="1" state="visible" r:id="rId3"/>
    <sheet name="Rural Site Plans" sheetId="2" state="visible" r:id="rId4"/>
    <sheet name="Urban Site Pla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<sst xmlns="http://schemas.openxmlformats.org/spreadsheetml/2006/main" count="451" uniqueCount="320">
  <si>
    <t xml:space="preserve">GridAid county plans: 5 urban and 5 rural counties</t>
  </si>
  <si>
    <t xml:space="preserve">Blue = inputs and data. Black = formulas. Green = linked from another cell block. Yellow = placeholder the county should set. Change any blue cell and every budget updates.</t>
  </si>
  <si>
    <t xml:space="preserve">1. Generator types (one site = one 100 kW setup)</t>
  </si>
  <si>
    <t xml:space="preserve">Type</t>
  </si>
  <si>
    <t xml:space="preserve">Cost per site ($)</t>
  </si>
  <si>
    <t xml:space="preserve">Fuel</t>
  </si>
  <si>
    <t xml:space="preserve">Fuel use per hour, full load</t>
  </si>
  <si>
    <t xml:space="preserve">Fuel unit</t>
  </si>
  <si>
    <t xml:space="preserve">Fuel price ($ per unit)</t>
  </si>
  <si>
    <t xml:space="preserve">Fuel cost per day, per site ($)</t>
  </si>
  <si>
    <t xml:space="preserve">Rental per week, per site ($)</t>
  </si>
  <si>
    <t xml:space="preserve">What it is, source and notes</t>
  </si>
  <si>
    <t xml:space="preserve">Hookup only (rent a generator in an outage)</t>
  </si>
  <si>
    <t xml:space="preserve">Diesel (rented unit)</t>
  </si>
  <si>
    <t xml:space="preserve">gallons</t>
  </si>
  <si>
    <t xml:space="preserve">Electrician installs a quick connect box so a rented trailer generator can plug in. Cost: NJ Office of Emergency Management, HMGP permissible uses list: quick connect or tap box about $100 per kW (x 100 kW). Rental: Vandalia Rental, 100 kW generator, $1,569 per week ($640 per day, $4,035 per month). Fuel: same as diesel row.</t>
  </si>
  <si>
    <t xml:space="preserve">Permanent generator, diesel</t>
  </si>
  <si>
    <t xml:space="preserve">Diesel</t>
  </si>
  <si>
    <t xml:space="preserve">-</t>
  </si>
  <si>
    <t xml:space="preserve">Built-in generator with a fuel tank on site. Needs fuel deliveries in a long outage. Cost: NC Dept. of Public Safety, June 2019: more than $1.4 million for 24 generators (22 to 500 kW), about $58,333 each. 2019 dollars. NJ OEM range for a permanent generator: $450 to $650 per kW ($45,000 to $65,000 at 100 kW). Fuel: Herc Rentals, 100 kW at full load = 7.4 gal per hour. Price: EIA U.S. diesel retail, week of Oct 12, 2026.</t>
  </si>
  <si>
    <t xml:space="preserve">Permanent generator, natural gas</t>
  </si>
  <si>
    <t xml:space="preserve">Natural gas</t>
  </si>
  <si>
    <t xml:space="preserve">cubic feet</t>
  </si>
  <si>
    <t xml:space="preserve">Built-in generator on the gas line. No fuel deliveries, but only where piped gas exists. Cost: average cost per kW of two 2026 quotes, times kW per site: Santa Fe, TX, 40 kW gas unit for Runge Park Community Center, $39,465 (May 2026); Stow, OH, 80 kW natural gas unit for the community center, $88,500 (Aug 2026). Fuel: Generac QT100 manual, 1,374 cubic feet per hour at full load. Price: EIA U.S. commercial natural gas, July 2026, $13.03 per 1,000 cubic feet. The diesel cost above is in 2019 dollars, so part of the gap is price growth, not fuel type.</t>
  </si>
  <si>
    <t xml:space="preserve">Solar panels plus battery</t>
  </si>
  <si>
    <t xml:space="preserve">Sun</t>
  </si>
  <si>
    <t xml:space="preserve">none</t>
  </si>
  <si>
    <t xml:space="preserve">Solar on the roof and a battery. No fuel, but less power than a 100 kW generator. Cost: Oregon Dept. of Energy grant, Feb 2026: Silver Falls Library District, 71 kW solar and 240 kWh battery, $589,147, so the library can act as an emergency center in outages. This is a grant amount; the full project cost may be higher. Best for critical loads only.</t>
  </si>
  <si>
    <t xml:space="preserve">2. Other inputs</t>
  </si>
  <si>
    <t xml:space="preserve">Input</t>
  </si>
  <si>
    <t xml:space="preserve">Value</t>
  </si>
  <si>
    <t xml:space="preserve">Source and notes</t>
  </si>
  <si>
    <t xml:space="preserve">FEMA share of cost</t>
  </si>
  <si>
    <t xml:space="preserve">FEMA Hazard Mitigation Grant Program share in the NC 2019 program (state paid 25%). Varies by program.</t>
  </si>
  <si>
    <t xml:space="preserve">Expected turnout at sites</t>
  </si>
  <si>
    <t xml:space="preserve">PLACEHOLDER, not sourced. Share of people who would come to a site in a long outage. The county should set this.</t>
  </si>
  <si>
    <t xml:space="preserve">Power per person, low (watts)</t>
  </si>
  <si>
    <t xml:space="preserve">Inogen At Home oxygen concentrator at 5 liters per minute (Inogen energy calculator).</t>
  </si>
  <si>
    <t xml:space="preserve">Power per person, high (watts)</t>
  </si>
  <si>
    <t xml:space="preserve">Inogen says many concentrators use more than twice 275 W.</t>
  </si>
  <si>
    <t xml:space="preserve">Reach, rural (miles)</t>
  </si>
  <si>
    <t xml:space="preserve">Assumption. Straight-line distance used by the rural site picker.</t>
  </si>
  <si>
    <t xml:space="preserve">Reach, urban (miles)</t>
  </si>
  <si>
    <t xml:space="preserve">Assumption. People without a car can't travel far. Urban site counts come from power needs.</t>
  </si>
  <si>
    <t xml:space="preserve">Days in a long outage</t>
  </si>
  <si>
    <t xml:space="preserve">PLANNING ASSUMPTION for the fuel and rental columns. Hurricane Beryl left 1.1 million Houston-area customers out 3 days later (Axios, Jul 11, 2024).</t>
  </si>
  <si>
    <t xml:space="preserve">Power per site (kW)</t>
  </si>
  <si>
    <t xml:space="preserve">PLANNING ASSUMPTION, not sourced. One generator at a typical small public building. NC program sizes ranged 22 to 500 kW.</t>
  </si>
  <si>
    <t xml:space="preserve">3. County plans</t>
  </si>
  <si>
    <t xml:space="preserve">Cost for recommended sites, by generator type</t>
  </si>
  <si>
    <t xml:space="preserve">Cost for the high estimate, by generator type</t>
  </si>
  <si>
    <t xml:space="preserve">Running cost, recommended sites</t>
  </si>
  <si>
    <t xml:space="preserve">County</t>
  </si>
  <si>
    <t xml:space="preserve">State</t>
  </si>
  <si>
    <t xml:space="preserve">FIPS</t>
  </si>
  <si>
    <t xml:space="preserve">Population (2020)</t>
  </si>
  <si>
    <t xml:space="preserve">Medicare members</t>
  </si>
  <si>
    <t xml:space="preserve">Rely on powered equipment</t>
  </si>
  <si>
    <t xml:space="preserve">Share of Medicare members</t>
  </si>
  <si>
    <t xml:space="preserve">Reach (mi)</t>
  </si>
  <si>
    <t xml:space="preserve">Expected at sites</t>
  </si>
  <si>
    <t xml:space="preserve">Power needed, low (kW)</t>
  </si>
  <si>
    <t xml:space="preserve">Power needed, high (kW)</t>
  </si>
  <si>
    <t xml:space="preserve">Sites from map (rural)</t>
  </si>
  <si>
    <t xml:space="preserve">Sites for full map coverage (rural)</t>
  </si>
  <si>
    <t xml:space="preserve">Recommended sites</t>
  </si>
  <si>
    <t xml:space="preserve">Sites, high estimate</t>
  </si>
  <si>
    <t xml:space="preserve">Hookups only ($)</t>
  </si>
  <si>
    <t xml:space="preserve">Diesel ($)</t>
  </si>
  <si>
    <t xml:space="preserve">Natural gas ($)</t>
  </si>
  <si>
    <t xml:space="preserve">Solar + battery ($)</t>
  </si>
  <si>
    <t xml:space="preserve">Hookups only, high ($)</t>
  </si>
  <si>
    <t xml:space="preserve">Diesel, high ($)</t>
  </si>
  <si>
    <t xml:space="preserve">Natural gas, high ($)</t>
  </si>
  <si>
    <t xml:space="preserve">Solar + battery, high ($)</t>
  </si>
  <si>
    <t xml:space="preserve">Local share if FEMA pays, diesel ($)</t>
  </si>
  <si>
    <t xml:space="preserve">Hookups: rent for a long outage ($)</t>
  </si>
  <si>
    <t xml:space="preserve">Diesel fuel for a long outage ($)</t>
  </si>
  <si>
    <t xml:space="preserve">Natural gas for a long outage ($)</t>
  </si>
  <si>
    <t xml:space="preserve">People in ZIP data (rural)</t>
  </si>
  <si>
    <t xml:space="preserve">People reached, recommended sites (rural)</t>
  </si>
  <si>
    <t xml:space="preserve">Coverage, recommended sites</t>
  </si>
  <si>
    <t xml:space="preserve">How sites were counted</t>
  </si>
  <si>
    <t xml:space="preserve">Los Angeles County</t>
  </si>
  <si>
    <t xml:space="preserve">CA</t>
  </si>
  <si>
    <t xml:space="preserve">06037</t>
  </si>
  <si>
    <t xml:space="preserve">Urban</t>
  </si>
  <si>
    <t xml:space="preserve">Power needs: expected people x watts / kW per site</t>
  </si>
  <si>
    <t xml:space="preserve">Cook County</t>
  </si>
  <si>
    <t xml:space="preserve">IL</t>
  </si>
  <si>
    <t xml:space="preserve">17031</t>
  </si>
  <si>
    <t xml:space="preserve">Harris County</t>
  </si>
  <si>
    <t xml:space="preserve">TX</t>
  </si>
  <si>
    <t xml:space="preserve">48201</t>
  </si>
  <si>
    <t xml:space="preserve">Maricopa County</t>
  </si>
  <si>
    <t xml:space="preserve">AZ</t>
  </si>
  <si>
    <t xml:space="preserve">04013</t>
  </si>
  <si>
    <t xml:space="preserve">Miami-Dade County</t>
  </si>
  <si>
    <t xml:space="preserve">FL</t>
  </si>
  <si>
    <t xml:space="preserve">12086</t>
  </si>
  <si>
    <t xml:space="preserve">Athens County</t>
  </si>
  <si>
    <t xml:space="preserve">OH</t>
  </si>
  <si>
    <t xml:space="preserve">39009</t>
  </si>
  <si>
    <t xml:space="preserve">Rural</t>
  </si>
  <si>
    <t xml:space="preserve">Site picker on 7 real library branches, 10 mi. Full coverage adds a site near Amesville.</t>
  </si>
  <si>
    <t xml:space="preserve">Harlan County</t>
  </si>
  <si>
    <t xml:space="preserve">KY</t>
  </si>
  <si>
    <t xml:space="preserve">21095</t>
  </si>
  <si>
    <t xml:space="preserve">Site picker on ZIP code centers (town centers), 10 mi</t>
  </si>
  <si>
    <t xml:space="preserve">Coos County</t>
  </si>
  <si>
    <t xml:space="preserve">NH</t>
  </si>
  <si>
    <t xml:space="preserve">33007</t>
  </si>
  <si>
    <t xml:space="preserve">Big Horn County</t>
  </si>
  <si>
    <t xml:space="preserve">MT</t>
  </si>
  <si>
    <t xml:space="preserve">30003</t>
  </si>
  <si>
    <t xml:space="preserve">Sunflower County</t>
  </si>
  <si>
    <t xml:space="preserve">MS</t>
  </si>
  <si>
    <t xml:space="preserve">28133</t>
  </si>
  <si>
    <t xml:space="preserve">Urban total</t>
  </si>
  <si>
    <t xml:space="preserve">Rural total</t>
  </si>
  <si>
    <t xml:space="preserve">All 10 counties</t>
  </si>
  <si>
    <t xml:space="preserve">How to read this sheet</t>
  </si>
  <si>
    <t xml:space="preserve">Recommended sites: rural = the larger of (sites to reach at least 90% of people in the ZIP data, from the site picker) and (sites needed for power at the high wattage). Urban = sites for power at the low wattage.</t>
  </si>
  <si>
    <t xml:space="preserve">Sites, high estimate: rural = sites to reach everyone in the ZIP data. Urban = sites for power at the high wattage.</t>
  </si>
  <si>
    <t xml:space="preserve">Each budget = number of sites x cost per site for that generator type (block 1). Running costs = sites x cost per day x days in a long outage (block 2).</t>
  </si>
  <si>
    <t xml:space="preserve">Hookups are the cheapest to set up but the county pays rent and fuel every outage. Natural gas needs no fuel deliveries but only works where there is a gas line, which many rural areas lack.</t>
  </si>
  <si>
    <t xml:space="preserve">Solar + battery has no fuel cost but gives less power than a 100 kW generator, so it suits critical loads (oxygen, medicine fridge, phone charging).</t>
  </si>
  <si>
    <t xml:space="preserve">People counts are Medicare members only (HHS emPOWER, county layer, updated Aug 2026). ZIP data hides counts of 1 to 10 as 11, so ZIP totals can differ from county totals.</t>
  </si>
  <si>
    <t xml:space="preserve">Costs are planning estimates from public records and price lists, not quotes. Regional price differences are not included.</t>
  </si>
  <si>
    <t xml:space="preserve">Sources</t>
  </si>
  <si>
    <t xml:space="preserve">HHS emPOWER REST Service (county and ZIP layers): https://services2.arcgis.com/ZQ4jTQn6k7VPXEwO/ArcGIS/rest/services/HHS_emPOWER_REST_Service_Public/FeatureServer</t>
  </si>
  <si>
    <t xml:space="preserve">2020 Census population: Wikipedia county pages (U.S. Census Bureau figures)</t>
  </si>
  <si>
    <t xml:space="preserve">NJ Office of Emergency Management, HMGP permissible uses list: https://nj.gov/njoem/programs/pdf/hmgp/062414_hmgp_permlist.pdf</t>
  </si>
  <si>
    <t xml:space="preserve">NC Department of Public Safety, June 18, 2019: https://ncdps.gov/news/press-releases/2019/06/18/communities-receive-generators-powering-critical-public</t>
  </si>
  <si>
    <t xml:space="preserve">City of Santa Fe, TX, council packet with Runge Park generator quote, May 2026: https://www.santafetx.gov/media/17821</t>
  </si>
  <si>
    <t xml:space="preserve">Stow, OH, community center generator, Aug 6, 2026 (Citizen Portal meeting summary): https://citizenportal.ai/articles/10770385/ohio/summit-county/stow-city/committee-amends-generator-funding-line-and-advances-community-center-generator-to-council</t>
  </si>
  <si>
    <t xml:space="preserve">Oregon Department of Energy, community energy grants, Feb 5, 2026: https://energyinfo.oregon.gov/blog/2026/2/5/oregon-department-of-energy-grants-support-renewable-and-resilient-energy-development-from-canyonville-to-cascade-locks</t>
  </si>
  <si>
    <t xml:space="preserve">Vandalia Rental, 100 kW generator rates: https://vandaliarental.com/equipment/generator-100-kw-3-phase/</t>
  </si>
  <si>
    <t xml:space="preserve">Herc Rentals, diesel generator fuel use: https://blog.hercrentals.com/power-generation/how-to-calculate-diesel-generator-fuel-consumption/</t>
  </si>
  <si>
    <t xml:space="preserve">Generac QT100 (QT10054GNSN) manual, fuel table: https://www.notice-facile.com/en/manual/1523359/generac+qt10054gnsn</t>
  </si>
  <si>
    <t xml:space="preserve">EIA diesel retail price, week of Oct 12, 2026: https://www.eia.gov/petroleum/gasdiesel/</t>
  </si>
  <si>
    <t xml:space="preserve">EIA commercial natural gas price, July 2026: https://www.eia.gov/dnav/ng/hist/n3020us3m.htm</t>
  </si>
  <si>
    <t xml:space="preserve">Inogen At Home energy calculator: https://www.inogen.com/products/energy-savings-calculator/</t>
  </si>
  <si>
    <t xml:space="preserve">Axios Houston, Jul 11, 2024 (Beryl outage length): https://www.axios.com/local/houston/2024/07/11/houston-power-outage-storm-beryl-centerpoint</t>
  </si>
  <si>
    <t xml:space="preserve">Rural site plans from the site picker</t>
  </si>
  <si>
    <t xml:space="preserve">Each row adds the site that reaches the most people not yet covered (10 mile straight-line reach). Best possible = every combination checked, up to 6 sites. Cost columns = total for all sites so far.</t>
  </si>
  <si>
    <t xml:space="preserve">Site #</t>
  </si>
  <si>
    <t xml:space="preserve">Site</t>
  </si>
  <si>
    <t xml:space="preserve">ZIP</t>
  </si>
  <si>
    <t xml:space="preserve">New people reached</t>
  </si>
  <si>
    <t xml:space="preserve">Total reached</t>
  </si>
  <si>
    <t xml:space="preserve">People in ZIP data</t>
  </si>
  <si>
    <t xml:space="preserve">Share reached</t>
  </si>
  <si>
    <t xml:space="preserve">Best possible with this many</t>
  </si>
  <si>
    <t xml:space="preserve">Site picker vs best</t>
  </si>
  <si>
    <t xml:space="preserve">Athens County, OH</t>
  </si>
  <si>
    <t xml:space="preserve">Chauncey Public Library</t>
  </si>
  <si>
    <t xml:space="preserve">45719</t>
  </si>
  <si>
    <t xml:space="preserve">Coolville Public Library</t>
  </si>
  <si>
    <t xml:space="preserve">45723</t>
  </si>
  <si>
    <t xml:space="preserve">Wells (Albany) Public Library</t>
  </si>
  <si>
    <t xml:space="preserve">45710</t>
  </si>
  <si>
    <t xml:space="preserve">Harlan County, KY</t>
  </si>
  <si>
    <t xml:space="preserve">Public building near Coalgood</t>
  </si>
  <si>
    <t xml:space="preserve">40818</t>
  </si>
  <si>
    <t xml:space="preserve">Public building near Lynch</t>
  </si>
  <si>
    <t xml:space="preserve">40855</t>
  </si>
  <si>
    <t xml:space="preserve">Public building near Coldiron</t>
  </si>
  <si>
    <t xml:space="preserve">40819</t>
  </si>
  <si>
    <t xml:space="preserve">Public building near Big Laurel</t>
  </si>
  <si>
    <t xml:space="preserve">40808</t>
  </si>
  <si>
    <t xml:space="preserve">Coos County, NH</t>
  </si>
  <si>
    <t xml:space="preserve">Public building near Berlin</t>
  </si>
  <si>
    <t xml:space="preserve">03570</t>
  </si>
  <si>
    <t xml:space="preserve">Public building near Lancaster</t>
  </si>
  <si>
    <t xml:space="preserve">03584</t>
  </si>
  <si>
    <t xml:space="preserve">Public building near Colebrook</t>
  </si>
  <si>
    <t xml:space="preserve">03576</t>
  </si>
  <si>
    <t xml:space="preserve">Public building near Twin Mountain</t>
  </si>
  <si>
    <t xml:space="preserve">03595</t>
  </si>
  <si>
    <t xml:space="preserve">Public building near Pittsburg</t>
  </si>
  <si>
    <t xml:space="preserve">03592</t>
  </si>
  <si>
    <t xml:space="preserve">Public building near Groveton</t>
  </si>
  <si>
    <t xml:space="preserve">03582</t>
  </si>
  <si>
    <t xml:space="preserve">Public building near Errol</t>
  </si>
  <si>
    <t xml:space="preserve">03579</t>
  </si>
  <si>
    <t xml:space="preserve">Not checked</t>
  </si>
  <si>
    <t xml:space="preserve">Public building near Jackson</t>
  </si>
  <si>
    <t xml:space="preserve">03846</t>
  </si>
  <si>
    <t xml:space="preserve">Big Horn County, MT</t>
  </si>
  <si>
    <t xml:space="preserve">Public building near Hardin</t>
  </si>
  <si>
    <t xml:space="preserve">59034</t>
  </si>
  <si>
    <t xml:space="preserve">Public building near Crow Agency</t>
  </si>
  <si>
    <t xml:space="preserve">59022</t>
  </si>
  <si>
    <t xml:space="preserve">Public building near Lodge Grass</t>
  </si>
  <si>
    <t xml:space="preserve">59050</t>
  </si>
  <si>
    <t xml:space="preserve">Public building near Busby</t>
  </si>
  <si>
    <t xml:space="preserve">59016</t>
  </si>
  <si>
    <t xml:space="preserve">Public building near Pryor</t>
  </si>
  <si>
    <t xml:space="preserve">59066</t>
  </si>
  <si>
    <t xml:space="preserve">Public building near Garryowen</t>
  </si>
  <si>
    <t xml:space="preserve">59031</t>
  </si>
  <si>
    <t xml:space="preserve">Public building near Fort Smith</t>
  </si>
  <si>
    <t xml:space="preserve">59035</t>
  </si>
  <si>
    <t xml:space="preserve">Public building near Saint Xavier</t>
  </si>
  <si>
    <t xml:space="preserve">59075</t>
  </si>
  <si>
    <t xml:space="preserve">Public building near Wyola</t>
  </si>
  <si>
    <t xml:space="preserve">59089</t>
  </si>
  <si>
    <t xml:space="preserve">Public building near Decker</t>
  </si>
  <si>
    <t xml:space="preserve">59025</t>
  </si>
  <si>
    <t xml:space="preserve">Sunflower County, MS</t>
  </si>
  <si>
    <t xml:space="preserve">Public building near Sunflower</t>
  </si>
  <si>
    <t xml:space="preserve">38778</t>
  </si>
  <si>
    <t xml:space="preserve">Public building near Doddsville</t>
  </si>
  <si>
    <t xml:space="preserve">38736</t>
  </si>
  <si>
    <t xml:space="preserve">Public building near Drew</t>
  </si>
  <si>
    <t xml:space="preserve">38737</t>
  </si>
  <si>
    <t xml:space="preserve">Public building near Inverness</t>
  </si>
  <si>
    <t xml:space="preserve">38753</t>
  </si>
  <si>
    <t xml:space="preserve">Athens sites are real library branches (Athens County Public Libraries, myacpl.org), placed at their ZIP center. Amesville (ZIP 45711, 24 people) is not within 10 miles of any library.</t>
  </si>
  <si>
    <t xml:space="preserve">Sites for Harlan, Coos, Big Horn and Sunflower are town centers (ZIP code centers), not specific buildings yet.</t>
  </si>
  <si>
    <t xml:space="preserve">Costs per site come from block 1 on the County Plans sheet.</t>
  </si>
  <si>
    <t xml:space="preserve">Urban site plans: start with the 10 ZIP codes that have the most people at risk</t>
  </si>
  <si>
    <t xml:space="preserve">Big counties are planned one area at a time. Each row sizes the sites for one ZIP code from its power needs (people x turnout x watts / kW per site). Pick a library, school, or community center inside each ZIP.</t>
  </si>
  <si>
    <t xml:space="preserve">Rank</t>
  </si>
  <si>
    <t xml:space="preserve">Area</t>
  </si>
  <si>
    <t xml:space="preserve">Share of county total</t>
  </si>
  <si>
    <t xml:space="preserve">Sites needed</t>
  </si>
  <si>
    <t xml:space="preserve">Los Angeles County, CA</t>
  </si>
  <si>
    <t xml:space="preserve">93535</t>
  </si>
  <si>
    <t xml:space="preserve">Lancaster</t>
  </si>
  <si>
    <t xml:space="preserve">93536</t>
  </si>
  <si>
    <t xml:space="preserve">90650</t>
  </si>
  <si>
    <t xml:space="preserve">Norwalk</t>
  </si>
  <si>
    <t xml:space="preserve">91342</t>
  </si>
  <si>
    <t xml:space="preserve">Sylmar</t>
  </si>
  <si>
    <t xml:space="preserve">93550</t>
  </si>
  <si>
    <t xml:space="preserve">Palmdale</t>
  </si>
  <si>
    <t xml:space="preserve">93534</t>
  </si>
  <si>
    <t xml:space="preserve">91331</t>
  </si>
  <si>
    <t xml:space="preserve">Pacoima</t>
  </si>
  <si>
    <t xml:space="preserve">91335</t>
  </si>
  <si>
    <t xml:space="preserve">Reseda</t>
  </si>
  <si>
    <t xml:space="preserve">90044</t>
  </si>
  <si>
    <t xml:space="preserve">Los Angeles</t>
  </si>
  <si>
    <t xml:space="preserve">91744</t>
  </si>
  <si>
    <t xml:space="preserve">La Puente</t>
  </si>
  <si>
    <t xml:space="preserve">Los Angeles County, CA: top 10 ZIPs</t>
  </si>
  <si>
    <t xml:space="preserve">Cook County, IL</t>
  </si>
  <si>
    <t xml:space="preserve">60620</t>
  </si>
  <si>
    <t xml:space="preserve">Chicago</t>
  </si>
  <si>
    <t xml:space="preserve">60617</t>
  </si>
  <si>
    <t xml:space="preserve">60628</t>
  </si>
  <si>
    <t xml:space="preserve">60619</t>
  </si>
  <si>
    <t xml:space="preserve">60411</t>
  </si>
  <si>
    <t xml:space="preserve">Chicago Heights</t>
  </si>
  <si>
    <t xml:space="preserve">60643</t>
  </si>
  <si>
    <t xml:space="preserve">60453</t>
  </si>
  <si>
    <t xml:space="preserve">Oak Lawn</t>
  </si>
  <si>
    <t xml:space="preserve">60629</t>
  </si>
  <si>
    <t xml:space="preserve">60409</t>
  </si>
  <si>
    <t xml:space="preserve">Calumet City</t>
  </si>
  <si>
    <t xml:space="preserve">60634</t>
  </si>
  <si>
    <t xml:space="preserve">Cook County, IL: top 10 ZIPs</t>
  </si>
  <si>
    <t xml:space="preserve">Harris County, TX</t>
  </si>
  <si>
    <t xml:space="preserve">77449</t>
  </si>
  <si>
    <t xml:space="preserve">Katy</t>
  </si>
  <si>
    <t xml:space="preserve">77379</t>
  </si>
  <si>
    <t xml:space="preserve">Spring</t>
  </si>
  <si>
    <t xml:space="preserve">77084</t>
  </si>
  <si>
    <t xml:space="preserve">Houston</t>
  </si>
  <si>
    <t xml:space="preserve">77521</t>
  </si>
  <si>
    <t xml:space="preserve">Baytown</t>
  </si>
  <si>
    <t xml:space="preserve">77429</t>
  </si>
  <si>
    <t xml:space="preserve">Cypress</t>
  </si>
  <si>
    <t xml:space="preserve">77433</t>
  </si>
  <si>
    <t xml:space="preserve">77088</t>
  </si>
  <si>
    <t xml:space="preserve">77346</t>
  </si>
  <si>
    <t xml:space="preserve">Humble</t>
  </si>
  <si>
    <t xml:space="preserve">77083</t>
  </si>
  <si>
    <t xml:space="preserve">77095</t>
  </si>
  <si>
    <t xml:space="preserve">Harris County, TX: top 10 ZIPs</t>
  </si>
  <si>
    <t xml:space="preserve">Maricopa County, AZ</t>
  </si>
  <si>
    <t xml:space="preserve">85351</t>
  </si>
  <si>
    <t xml:space="preserve">Sun City</t>
  </si>
  <si>
    <t xml:space="preserve">85375</t>
  </si>
  <si>
    <t xml:space="preserve">Sun City West</t>
  </si>
  <si>
    <t xml:space="preserve">85374</t>
  </si>
  <si>
    <t xml:space="preserve">Surprise</t>
  </si>
  <si>
    <t xml:space="preserve">85345</t>
  </si>
  <si>
    <t xml:space="preserve">Peoria</t>
  </si>
  <si>
    <t xml:space="preserve">85308</t>
  </si>
  <si>
    <t xml:space="preserve">Glendale</t>
  </si>
  <si>
    <t xml:space="preserve">85205</t>
  </si>
  <si>
    <t xml:space="preserve">Mesa</t>
  </si>
  <si>
    <t xml:space="preserve">85248</t>
  </si>
  <si>
    <t xml:space="preserve">Chandler</t>
  </si>
  <si>
    <t xml:space="preserve">85382</t>
  </si>
  <si>
    <t xml:space="preserve">85326</t>
  </si>
  <si>
    <t xml:space="preserve">Buckeye</t>
  </si>
  <si>
    <t xml:space="preserve">85206</t>
  </si>
  <si>
    <t xml:space="preserve">Maricopa County, AZ: top 10 ZIPs</t>
  </si>
  <si>
    <t xml:space="preserve">Miami-Dade County, FL</t>
  </si>
  <si>
    <t xml:space="preserve">33012</t>
  </si>
  <si>
    <t xml:space="preserve">Hialeah</t>
  </si>
  <si>
    <t xml:space="preserve">33157</t>
  </si>
  <si>
    <t xml:space="preserve">Miami</t>
  </si>
  <si>
    <t xml:space="preserve">33165</t>
  </si>
  <si>
    <t xml:space="preserve">33175</t>
  </si>
  <si>
    <t xml:space="preserve">33142</t>
  </si>
  <si>
    <t xml:space="preserve">33186</t>
  </si>
  <si>
    <t xml:space="preserve">33125</t>
  </si>
  <si>
    <t xml:space="preserve">33010</t>
  </si>
  <si>
    <t xml:space="preserve">33155</t>
  </si>
  <si>
    <t xml:space="preserve">33176</t>
  </si>
  <si>
    <t xml:space="preserve">Miami-Dade County, FL: top 10 ZIPs</t>
  </si>
  <si>
    <t xml:space="preserve">ZIP counts: HHS emPOWER ZIP layer, updated Aug 2026, pulled Oct 17, 2026. Medicare members only.</t>
  </si>
  <si>
    <t xml:space="preserve">Share of county total compares each ZIP with the county-layer total, so shares can be a little off (ZIP data rounds small counts up to 11).</t>
  </si>
  <si>
    <t xml:space="preserve">Sites per ZIP round up, so the top-10 total can be higher than the same people would need in the county-wide count.</t>
  </si>
  <si>
    <t xml:space="preserve">Next step for each ZIP: pick a public building (library, school, fire station) and confirm it has room and a safe spot for a generator.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</si>
</sst>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#,##0.0;\(#,##0.0\);\-"/>
    <numFmt numFmtId="167" formatCode="\$#,##0.000;;\-"/>
    <numFmt numFmtId="168" formatCode="#,##0;\(#,##0\);\-"/>
    <numFmt numFmtId="169" formatCode="\$#,##0.000"/>
    <numFmt numFmtId="170" formatCode="0.0%;\(0.0%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8EDF3"/>
        <bgColor rgb="FFDCE2E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CE2E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DF3"/>
      <rgbColor rgb="FF660066"/>
      <rgbColor rgb="FFFF8080"/>
      <rgbColor rgb="FF0066CC"/>
      <rgbColor rgb="FFDCE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64"/>
  <sheetViews>
    <sheetView showFormulas="false" showGridLines="true" showRowColHeaders="true" showZeros="true" rightToLeft="false" tabSelected="true" showOutlineSymbols="true" defaultGridColor="true" view="normal" topLeftCell="A26" colorId="64" zoomScale="100" zoomScaleNormal="100" zoomScalePageLayoutView="100" workbookViewId="0">
      <pane xSplit="1" ySplit="0" topLeftCell="B26" activePane="topRight" state="frozen"/>
      <selection pane="topLeft" activeCell="A26" activeCellId="0" sqref="A26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3" min="10" style="0" width="11"/>
    <col collapsed="false" customWidth="true" hidden="false" outlineLevel="0" max="14" min="14" style="0" width="13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9" min="17" style="0" width="13"/>
    <col collapsed="false" customWidth="true" hidden="false" outlineLevel="0" max="20" min="20" style="0" width="14"/>
    <col collapsed="false" customWidth="true" hidden="false" outlineLevel="0" max="23" min="21" style="0" width="13"/>
    <col collapsed="false" customWidth="true" hidden="false" outlineLevel="0" max="25" min="24" style="0" width="14"/>
    <col collapsed="false" customWidth="true" hidden="false" outlineLevel="0" max="28" min="26" style="0" width="15"/>
    <col collapsed="false" customWidth="true" hidden="false" outlineLevel="0" max="29" min="29" style="0" width="12"/>
    <col collapsed="false" customWidth="true" hidden="false" outlineLevel="0" max="30" min="30" style="0" width="14"/>
    <col collapsed="false" customWidth="true" hidden="false" outlineLevel="0" max="31" min="31" style="0" width="12"/>
    <col collapsed="false" customWidth="true" hidden="false" outlineLevel="0" max="32" min="32" style="0" width="6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customFormat="false" ht="15" hidden="false" customHeight="false" outlineLevel="0" collapsed="false">
      <c r="A4" s="4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customFormat="false" ht="48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customFormat="false" ht="15" hidden="false" customHeight="false" outlineLevel="0" collapsed="false">
      <c r="A6" s="6" t="s">
        <v>12</v>
      </c>
      <c r="B6" s="7" t="n">
        <v>10000</v>
      </c>
      <c r="C6" s="8" t="s">
        <v>13</v>
      </c>
      <c r="D6" s="9" t="n">
        <v>7.4</v>
      </c>
      <c r="E6" s="8" t="s">
        <v>14</v>
      </c>
      <c r="F6" s="10" t="n">
        <v>6.179</v>
      </c>
      <c r="G6" s="11" t="n">
        <f aca="false">D6*24*F6</f>
        <v>1097.3904</v>
      </c>
      <c r="H6" s="7" t="n">
        <v>1569</v>
      </c>
      <c r="I6" s="8" t="s">
        <v>15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customFormat="false" ht="15" hidden="false" customHeight="false" outlineLevel="0" collapsed="false">
      <c r="A7" s="6" t="s">
        <v>16</v>
      </c>
      <c r="B7" s="7" t="n">
        <v>58333</v>
      </c>
      <c r="C7" s="8" t="s">
        <v>17</v>
      </c>
      <c r="D7" s="9" t="n">
        <v>7.4</v>
      </c>
      <c r="E7" s="8" t="s">
        <v>14</v>
      </c>
      <c r="F7" s="10" t="n">
        <v>6.179</v>
      </c>
      <c r="G7" s="11" t="n">
        <f aca="false">D7*24*F7</f>
        <v>1097.3904</v>
      </c>
      <c r="H7" s="8" t="s">
        <v>18</v>
      </c>
      <c r="I7" s="8" t="s">
        <v>19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customFormat="false" ht="15" hidden="false" customHeight="false" outlineLevel="0" collapsed="false">
      <c r="A8" s="6" t="s">
        <v>20</v>
      </c>
      <c r="B8" s="11" t="n">
        <f aca="false">AVERAGE(39465/40,88500/80)*$B$21</f>
        <v>104643.75</v>
      </c>
      <c r="C8" s="8" t="s">
        <v>21</v>
      </c>
      <c r="D8" s="12" t="n">
        <v>1374</v>
      </c>
      <c r="E8" s="8" t="s">
        <v>22</v>
      </c>
      <c r="F8" s="13" t="n">
        <f aca="false">13.03/1000</f>
        <v>0.01303</v>
      </c>
      <c r="G8" s="11" t="n">
        <f aca="false">D8*24*F8</f>
        <v>429.67728</v>
      </c>
      <c r="H8" s="8" t="s">
        <v>18</v>
      </c>
      <c r="I8" s="8" t="s">
        <v>23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customFormat="false" ht="15" hidden="false" customHeight="false" outlineLevel="0" collapsed="false">
      <c r="A9" s="6" t="s">
        <v>24</v>
      </c>
      <c r="B9" s="7" t="n">
        <v>589147</v>
      </c>
      <c r="C9" s="8" t="s">
        <v>25</v>
      </c>
      <c r="D9" s="9" t="n">
        <v>0</v>
      </c>
      <c r="E9" s="8" t="s">
        <v>26</v>
      </c>
      <c r="F9" s="10" t="n">
        <v>0</v>
      </c>
      <c r="G9" s="11" t="n">
        <f aca="false">D9*24*F9</f>
        <v>0</v>
      </c>
      <c r="H9" s="8" t="s">
        <v>18</v>
      </c>
      <c r="I9" s="8" t="s">
        <v>27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customFormat="false" ht="15" hidden="false" customHeight="false" outlineLevel="0" collapsed="false">
      <c r="A12" s="4" t="s">
        <v>28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customFormat="false" ht="24" hidden="false" customHeight="true" outlineLevel="0" collapsed="false">
      <c r="A13" s="5" t="s">
        <v>29</v>
      </c>
      <c r="B13" s="5" t="s">
        <v>30</v>
      </c>
      <c r="C13" s="5" t="s">
        <v>31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customFormat="false" ht="15" hidden="false" customHeight="false" outlineLevel="0" collapsed="false">
      <c r="A14" s="8" t="s">
        <v>32</v>
      </c>
      <c r="B14" s="14" t="n">
        <v>0.75</v>
      </c>
      <c r="C14" s="8" t="s">
        <v>33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customFormat="false" ht="15" hidden="false" customHeight="false" outlineLevel="0" collapsed="false">
      <c r="A15" s="8" t="s">
        <v>34</v>
      </c>
      <c r="B15" s="15" t="n">
        <v>0.25</v>
      </c>
      <c r="C15" s="8" t="s">
        <v>35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customFormat="false" ht="15" hidden="false" customHeight="false" outlineLevel="0" collapsed="false">
      <c r="A16" s="8" t="s">
        <v>36</v>
      </c>
      <c r="B16" s="12" t="n">
        <v>275</v>
      </c>
      <c r="C16" s="8" t="s">
        <v>37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customFormat="false" ht="15" hidden="false" customHeight="false" outlineLevel="0" collapsed="false">
      <c r="A17" s="8" t="s">
        <v>38</v>
      </c>
      <c r="B17" s="12" t="n">
        <v>550</v>
      </c>
      <c r="C17" s="8" t="s">
        <v>39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customFormat="false" ht="15" hidden="false" customHeight="false" outlineLevel="0" collapsed="false">
      <c r="A18" s="8" t="s">
        <v>40</v>
      </c>
      <c r="B18" s="12" t="n">
        <v>10</v>
      </c>
      <c r="C18" s="8" t="s">
        <v>41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customFormat="false" ht="15" hidden="false" customHeight="false" outlineLevel="0" collapsed="false">
      <c r="A19" s="8" t="s">
        <v>42</v>
      </c>
      <c r="B19" s="12" t="n">
        <v>3</v>
      </c>
      <c r="C19" s="8" t="s">
        <v>43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customFormat="false" ht="15" hidden="false" customHeight="false" outlineLevel="0" collapsed="false">
      <c r="A20" s="8" t="s">
        <v>44</v>
      </c>
      <c r="B20" s="16" t="n">
        <v>3</v>
      </c>
      <c r="C20" s="8" t="s">
        <v>45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customFormat="false" ht="15" hidden="false" customHeight="false" outlineLevel="0" collapsed="false">
      <c r="A21" s="8" t="s">
        <v>46</v>
      </c>
      <c r="B21" s="16" t="n">
        <v>100</v>
      </c>
      <c r="C21" s="8" t="s">
        <v>47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customFormat="false" ht="15" hidden="false" customHeight="false" outlineLevel="0" collapsed="false">
      <c r="A24" s="4" t="s">
        <v>48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6" t="s">
        <v>49</v>
      </c>
      <c r="R24" s="2"/>
      <c r="S24" s="2"/>
      <c r="T24" s="2"/>
      <c r="U24" s="6" t="s">
        <v>50</v>
      </c>
      <c r="V24" s="2"/>
      <c r="W24" s="2"/>
      <c r="X24" s="2"/>
      <c r="Y24" s="2"/>
      <c r="Z24" s="6" t="s">
        <v>51</v>
      </c>
      <c r="AA24" s="2"/>
      <c r="AB24" s="2"/>
      <c r="AC24" s="2"/>
      <c r="AD24" s="2"/>
      <c r="AE24" s="2"/>
      <c r="AF24" s="2"/>
    </row>
    <row r="25" customFormat="false" ht="61.5" hidden="false" customHeight="true" outlineLevel="0" collapsed="false">
      <c r="A25" s="5" t="s">
        <v>52</v>
      </c>
      <c r="B25" s="5" t="s">
        <v>53</v>
      </c>
      <c r="C25" s="5" t="s">
        <v>54</v>
      </c>
      <c r="D25" s="5" t="s">
        <v>3</v>
      </c>
      <c r="E25" s="5" t="s">
        <v>55</v>
      </c>
      <c r="F25" s="5" t="s">
        <v>56</v>
      </c>
      <c r="G25" s="5" t="s">
        <v>57</v>
      </c>
      <c r="H25" s="5" t="s">
        <v>58</v>
      </c>
      <c r="I25" s="5" t="s">
        <v>59</v>
      </c>
      <c r="J25" s="5" t="s">
        <v>60</v>
      </c>
      <c r="K25" s="5" t="s">
        <v>61</v>
      </c>
      <c r="L25" s="5" t="s">
        <v>62</v>
      </c>
      <c r="M25" s="5" t="s">
        <v>63</v>
      </c>
      <c r="N25" s="5" t="s">
        <v>64</v>
      </c>
      <c r="O25" s="5" t="s">
        <v>65</v>
      </c>
      <c r="P25" s="5" t="s">
        <v>66</v>
      </c>
      <c r="Q25" s="5" t="s">
        <v>67</v>
      </c>
      <c r="R25" s="5" t="s">
        <v>68</v>
      </c>
      <c r="S25" s="5" t="s">
        <v>69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76</v>
      </c>
      <c r="AA25" s="5" t="s">
        <v>77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</row>
    <row r="26" customFormat="false" ht="15" hidden="false" customHeight="false" outlineLevel="0" collapsed="false">
      <c r="A26" s="17" t="s">
        <v>83</v>
      </c>
      <c r="B26" s="17" t="s">
        <v>84</v>
      </c>
      <c r="C26" s="17" t="s">
        <v>85</v>
      </c>
      <c r="D26" s="17" t="s">
        <v>86</v>
      </c>
      <c r="E26" s="18" t="n">
        <v>10014009</v>
      </c>
      <c r="F26" s="18" t="n">
        <v>1716142</v>
      </c>
      <c r="G26" s="18" t="n">
        <v>67311</v>
      </c>
      <c r="H26" s="19" t="n">
        <f aca="false">G26/F26</f>
        <v>0.0392222788090962</v>
      </c>
      <c r="I26" s="20" t="n">
        <f aca="false">IF(D26="Rural",$B$18,$B$19)</f>
        <v>3</v>
      </c>
      <c r="J26" s="21" t="n">
        <f aca="false">G26*$B$15</f>
        <v>16827.75</v>
      </c>
      <c r="K26" s="22" t="n">
        <f aca="false">J26*$B$16/1000</f>
        <v>4627.63125</v>
      </c>
      <c r="L26" s="22" t="n">
        <f aca="false">J26*$B$17/1000</f>
        <v>9255.2625</v>
      </c>
      <c r="M26" s="23"/>
      <c r="N26" s="23"/>
      <c r="O26" s="21" t="n">
        <f aca="false">IF(D26="Rural",MAX(M26,ROUNDUP(L26/$B$21,0)),ROUNDUP(K26/$B$21,0))</f>
        <v>47</v>
      </c>
      <c r="P26" s="21" t="n">
        <f aca="false">IF(D26="Rural",MAX(N26,ROUNDUP(L26/$B$21,0)),ROUNDUP(L26/$B$21,0))</f>
        <v>93</v>
      </c>
      <c r="Q26" s="24" t="n">
        <f aca="false">O26*$B$6</f>
        <v>470000</v>
      </c>
      <c r="R26" s="24" t="n">
        <f aca="false">O26*$B$7</f>
        <v>2741651</v>
      </c>
      <c r="S26" s="24" t="n">
        <f aca="false">O26*$B$8</f>
        <v>4918256.25</v>
      </c>
      <c r="T26" s="24" t="n">
        <f aca="false">O26*$B$9</f>
        <v>27689909</v>
      </c>
      <c r="U26" s="24" t="n">
        <f aca="false">P26*$B$6</f>
        <v>930000</v>
      </c>
      <c r="V26" s="24" t="n">
        <f aca="false">P26*$B$7</f>
        <v>5424969</v>
      </c>
      <c r="W26" s="24" t="n">
        <f aca="false">P26*$B$8</f>
        <v>9731868.75</v>
      </c>
      <c r="X26" s="24" t="n">
        <f aca="false">P26*$B$9</f>
        <v>54790671</v>
      </c>
      <c r="Y26" s="24" t="n">
        <f aca="false">R26*(1-$B$14)</f>
        <v>685412.75</v>
      </c>
      <c r="Z26" s="24" t="n">
        <f aca="false">O26*($H$6*ROUNDUP($B$20/7,0)+$G$7*$B$20)</f>
        <v>228475.0464</v>
      </c>
      <c r="AA26" s="24" t="n">
        <f aca="false">O26*$G$7*$B$20</f>
        <v>154732.0464</v>
      </c>
      <c r="AB26" s="24" t="n">
        <f aca="false">O26*$G$8*$B$20</f>
        <v>60584.49648</v>
      </c>
      <c r="AC26" s="23"/>
      <c r="AD26" s="23"/>
      <c r="AE26" s="19" t="str">
        <f aca="false">IF(D26="Rural",AD26/AC26,"See Urban Site Plans")</f>
        <v>See Urban Site Plans</v>
      </c>
      <c r="AF26" s="17" t="s">
        <v>87</v>
      </c>
    </row>
    <row r="27" customFormat="false" ht="15" hidden="false" customHeight="false" outlineLevel="0" collapsed="false">
      <c r="A27" s="17" t="s">
        <v>88</v>
      </c>
      <c r="B27" s="17" t="s">
        <v>89</v>
      </c>
      <c r="C27" s="17" t="s">
        <v>90</v>
      </c>
      <c r="D27" s="17" t="s">
        <v>86</v>
      </c>
      <c r="E27" s="18" t="n">
        <v>5275541</v>
      </c>
      <c r="F27" s="18" t="n">
        <v>880036</v>
      </c>
      <c r="G27" s="18" t="n">
        <v>33574</v>
      </c>
      <c r="H27" s="19" t="n">
        <f aca="false">G27/F27</f>
        <v>0.0381507120163266</v>
      </c>
      <c r="I27" s="20" t="n">
        <f aca="false">IF(D27="Rural",$B$18,$B$19)</f>
        <v>3</v>
      </c>
      <c r="J27" s="21" t="n">
        <f aca="false">G27*$B$15</f>
        <v>8393.5</v>
      </c>
      <c r="K27" s="22" t="n">
        <f aca="false">J27*$B$16/1000</f>
        <v>2308.2125</v>
      </c>
      <c r="L27" s="22" t="n">
        <f aca="false">J27*$B$17/1000</f>
        <v>4616.425</v>
      </c>
      <c r="M27" s="23"/>
      <c r="N27" s="23"/>
      <c r="O27" s="21" t="n">
        <f aca="false">IF(D27="Rural",MAX(M27,ROUNDUP(L27/$B$21,0)),ROUNDUP(K27/$B$21,0))</f>
        <v>24</v>
      </c>
      <c r="P27" s="21" t="n">
        <f aca="false">IF(D27="Rural",MAX(N27,ROUNDUP(L27/$B$21,0)),ROUNDUP(L27/$B$21,0))</f>
        <v>47</v>
      </c>
      <c r="Q27" s="24" t="n">
        <f aca="false">O27*$B$6</f>
        <v>240000</v>
      </c>
      <c r="R27" s="24" t="n">
        <f aca="false">O27*$B$7</f>
        <v>1399992</v>
      </c>
      <c r="S27" s="24" t="n">
        <f aca="false">O27*$B$8</f>
        <v>2511450</v>
      </c>
      <c r="T27" s="24" t="n">
        <f aca="false">O27*$B$9</f>
        <v>14139528</v>
      </c>
      <c r="U27" s="24" t="n">
        <f aca="false">P27*$B$6</f>
        <v>470000</v>
      </c>
      <c r="V27" s="24" t="n">
        <f aca="false">P27*$B$7</f>
        <v>2741651</v>
      </c>
      <c r="W27" s="24" t="n">
        <f aca="false">P27*$B$8</f>
        <v>4918256.25</v>
      </c>
      <c r="X27" s="24" t="n">
        <f aca="false">P27*$B$9</f>
        <v>27689909</v>
      </c>
      <c r="Y27" s="24" t="n">
        <f aca="false">R27*(1-$B$14)</f>
        <v>349998</v>
      </c>
      <c r="Z27" s="24" t="n">
        <f aca="false">O27*($H$6*ROUNDUP($B$20/7,0)+$G$7*$B$20)</f>
        <v>116668.1088</v>
      </c>
      <c r="AA27" s="24" t="n">
        <f aca="false">O27*$G$7*$B$20</f>
        <v>79012.1088</v>
      </c>
      <c r="AB27" s="24" t="n">
        <f aca="false">O27*$G$8*$B$20</f>
        <v>30936.76416</v>
      </c>
      <c r="AC27" s="23"/>
      <c r="AD27" s="23"/>
      <c r="AE27" s="19" t="str">
        <f aca="false">IF(D27="Rural",AD27/AC27,"See Urban Site Plans")</f>
        <v>See Urban Site Plans</v>
      </c>
      <c r="AF27" s="17" t="s">
        <v>87</v>
      </c>
    </row>
    <row r="28" customFormat="false" ht="15" hidden="false" customHeight="false" outlineLevel="0" collapsed="false">
      <c r="A28" s="17" t="s">
        <v>91</v>
      </c>
      <c r="B28" s="17" t="s">
        <v>92</v>
      </c>
      <c r="C28" s="17" t="s">
        <v>93</v>
      </c>
      <c r="D28" s="17" t="s">
        <v>86</v>
      </c>
      <c r="E28" s="18" t="n">
        <v>4731145</v>
      </c>
      <c r="F28" s="18" t="n">
        <v>672080</v>
      </c>
      <c r="G28" s="18" t="n">
        <v>28811</v>
      </c>
      <c r="H28" s="19" t="n">
        <f aca="false">G28/F28</f>
        <v>0.0428684085227949</v>
      </c>
      <c r="I28" s="20" t="n">
        <f aca="false">IF(D28="Rural",$B$18,$B$19)</f>
        <v>3</v>
      </c>
      <c r="J28" s="21" t="n">
        <f aca="false">G28*$B$15</f>
        <v>7202.75</v>
      </c>
      <c r="K28" s="22" t="n">
        <f aca="false">J28*$B$16/1000</f>
        <v>1980.75625</v>
      </c>
      <c r="L28" s="22" t="n">
        <f aca="false">J28*$B$17/1000</f>
        <v>3961.5125</v>
      </c>
      <c r="M28" s="23"/>
      <c r="N28" s="23"/>
      <c r="O28" s="21" t="n">
        <f aca="false">IF(D28="Rural",MAX(M28,ROUNDUP(L28/$B$21,0)),ROUNDUP(K28/$B$21,0))</f>
        <v>20</v>
      </c>
      <c r="P28" s="21" t="n">
        <f aca="false">IF(D28="Rural",MAX(N28,ROUNDUP(L28/$B$21,0)),ROUNDUP(L28/$B$21,0))</f>
        <v>40</v>
      </c>
      <c r="Q28" s="24" t="n">
        <f aca="false">O28*$B$6</f>
        <v>200000</v>
      </c>
      <c r="R28" s="24" t="n">
        <f aca="false">O28*$B$7</f>
        <v>1166660</v>
      </c>
      <c r="S28" s="24" t="n">
        <f aca="false">O28*$B$8</f>
        <v>2092875</v>
      </c>
      <c r="T28" s="24" t="n">
        <f aca="false">O28*$B$9</f>
        <v>11782940</v>
      </c>
      <c r="U28" s="24" t="n">
        <f aca="false">P28*$B$6</f>
        <v>400000</v>
      </c>
      <c r="V28" s="24" t="n">
        <f aca="false">P28*$B$7</f>
        <v>2333320</v>
      </c>
      <c r="W28" s="24" t="n">
        <f aca="false">P28*$B$8</f>
        <v>4185750</v>
      </c>
      <c r="X28" s="24" t="n">
        <f aca="false">P28*$B$9</f>
        <v>23565880</v>
      </c>
      <c r="Y28" s="24" t="n">
        <f aca="false">R28*(1-$B$14)</f>
        <v>291665</v>
      </c>
      <c r="Z28" s="24" t="n">
        <f aca="false">O28*($H$6*ROUNDUP($B$20/7,0)+$G$7*$B$20)</f>
        <v>97223.424</v>
      </c>
      <c r="AA28" s="24" t="n">
        <f aca="false">O28*$G$7*$B$20</f>
        <v>65843.424</v>
      </c>
      <c r="AB28" s="24" t="n">
        <f aca="false">O28*$G$8*$B$20</f>
        <v>25780.6368</v>
      </c>
      <c r="AC28" s="23"/>
      <c r="AD28" s="23"/>
      <c r="AE28" s="19" t="str">
        <f aca="false">IF(D28="Rural",AD28/AC28,"See Urban Site Plans")</f>
        <v>See Urban Site Plans</v>
      </c>
      <c r="AF28" s="17" t="s">
        <v>87</v>
      </c>
    </row>
    <row r="29" customFormat="false" ht="15" hidden="false" customHeight="false" outlineLevel="0" collapsed="false">
      <c r="A29" s="17" t="s">
        <v>94</v>
      </c>
      <c r="B29" s="17" t="s">
        <v>95</v>
      </c>
      <c r="C29" s="17" t="s">
        <v>96</v>
      </c>
      <c r="D29" s="17" t="s">
        <v>86</v>
      </c>
      <c r="E29" s="18" t="n">
        <v>4420568</v>
      </c>
      <c r="F29" s="18" t="n">
        <v>817022</v>
      </c>
      <c r="G29" s="18" t="n">
        <v>32883</v>
      </c>
      <c r="H29" s="19" t="n">
        <f aca="false">G29/F29</f>
        <v>0.0402473862392934</v>
      </c>
      <c r="I29" s="20" t="n">
        <f aca="false">IF(D29="Rural",$B$18,$B$19)</f>
        <v>3</v>
      </c>
      <c r="J29" s="21" t="n">
        <f aca="false">G29*$B$15</f>
        <v>8220.75</v>
      </c>
      <c r="K29" s="22" t="n">
        <f aca="false">J29*$B$16/1000</f>
        <v>2260.70625</v>
      </c>
      <c r="L29" s="22" t="n">
        <f aca="false">J29*$B$17/1000</f>
        <v>4521.4125</v>
      </c>
      <c r="M29" s="23"/>
      <c r="N29" s="23"/>
      <c r="O29" s="21" t="n">
        <f aca="false">IF(D29="Rural",MAX(M29,ROUNDUP(L29/$B$21,0)),ROUNDUP(K29/$B$21,0))</f>
        <v>23</v>
      </c>
      <c r="P29" s="21" t="n">
        <f aca="false">IF(D29="Rural",MAX(N29,ROUNDUP(L29/$B$21,0)),ROUNDUP(L29/$B$21,0))</f>
        <v>46</v>
      </c>
      <c r="Q29" s="24" t="n">
        <f aca="false">O29*$B$6</f>
        <v>230000</v>
      </c>
      <c r="R29" s="24" t="n">
        <f aca="false">O29*$B$7</f>
        <v>1341659</v>
      </c>
      <c r="S29" s="24" t="n">
        <f aca="false">O29*$B$8</f>
        <v>2406806.25</v>
      </c>
      <c r="T29" s="24" t="n">
        <f aca="false">O29*$B$9</f>
        <v>13550381</v>
      </c>
      <c r="U29" s="24" t="n">
        <f aca="false">P29*$B$6</f>
        <v>460000</v>
      </c>
      <c r="V29" s="24" t="n">
        <f aca="false">P29*$B$7</f>
        <v>2683318</v>
      </c>
      <c r="W29" s="24" t="n">
        <f aca="false">P29*$B$8</f>
        <v>4813612.5</v>
      </c>
      <c r="X29" s="24" t="n">
        <f aca="false">P29*$B$9</f>
        <v>27100762</v>
      </c>
      <c r="Y29" s="24" t="n">
        <f aca="false">R29*(1-$B$14)</f>
        <v>335414.75</v>
      </c>
      <c r="Z29" s="24" t="n">
        <f aca="false">O29*($H$6*ROUNDUP($B$20/7,0)+$G$7*$B$20)</f>
        <v>111806.9376</v>
      </c>
      <c r="AA29" s="24" t="n">
        <f aca="false">O29*$G$7*$B$20</f>
        <v>75719.9376</v>
      </c>
      <c r="AB29" s="24" t="n">
        <f aca="false">O29*$G$8*$B$20</f>
        <v>29647.73232</v>
      </c>
      <c r="AC29" s="23"/>
      <c r="AD29" s="23"/>
      <c r="AE29" s="19" t="str">
        <f aca="false">IF(D29="Rural",AD29/AC29,"See Urban Site Plans")</f>
        <v>See Urban Site Plans</v>
      </c>
      <c r="AF29" s="17" t="s">
        <v>87</v>
      </c>
    </row>
    <row r="30" customFormat="false" ht="15" hidden="false" customHeight="false" outlineLevel="0" collapsed="false">
      <c r="A30" s="17" t="s">
        <v>97</v>
      </c>
      <c r="B30" s="17" t="s">
        <v>98</v>
      </c>
      <c r="C30" s="17" t="s">
        <v>99</v>
      </c>
      <c r="D30" s="17" t="s">
        <v>86</v>
      </c>
      <c r="E30" s="18" t="n">
        <v>2701767</v>
      </c>
      <c r="F30" s="18" t="n">
        <v>525034</v>
      </c>
      <c r="G30" s="18" t="n">
        <v>23346</v>
      </c>
      <c r="H30" s="19" t="n">
        <f aca="false">G30/F30</f>
        <v>0.0444656917456774</v>
      </c>
      <c r="I30" s="20" t="n">
        <f aca="false">IF(D30="Rural",$B$18,$B$19)</f>
        <v>3</v>
      </c>
      <c r="J30" s="21" t="n">
        <f aca="false">G30*$B$15</f>
        <v>5836.5</v>
      </c>
      <c r="K30" s="22" t="n">
        <f aca="false">J30*$B$16/1000</f>
        <v>1605.0375</v>
      </c>
      <c r="L30" s="22" t="n">
        <f aca="false">J30*$B$17/1000</f>
        <v>3210.075</v>
      </c>
      <c r="M30" s="23"/>
      <c r="N30" s="23"/>
      <c r="O30" s="21" t="n">
        <f aca="false">IF(D30="Rural",MAX(M30,ROUNDUP(L30/$B$21,0)),ROUNDUP(K30/$B$21,0))</f>
        <v>17</v>
      </c>
      <c r="P30" s="21" t="n">
        <f aca="false">IF(D30="Rural",MAX(N30,ROUNDUP(L30/$B$21,0)),ROUNDUP(L30/$B$21,0))</f>
        <v>33</v>
      </c>
      <c r="Q30" s="24" t="n">
        <f aca="false">O30*$B$6</f>
        <v>170000</v>
      </c>
      <c r="R30" s="24" t="n">
        <f aca="false">O30*$B$7</f>
        <v>991661</v>
      </c>
      <c r="S30" s="24" t="n">
        <f aca="false">O30*$B$8</f>
        <v>1778943.75</v>
      </c>
      <c r="T30" s="24" t="n">
        <f aca="false">O30*$B$9</f>
        <v>10015499</v>
      </c>
      <c r="U30" s="24" t="n">
        <f aca="false">P30*$B$6</f>
        <v>330000</v>
      </c>
      <c r="V30" s="24" t="n">
        <f aca="false">P30*$B$7</f>
        <v>1924989</v>
      </c>
      <c r="W30" s="24" t="n">
        <f aca="false">P30*$B$8</f>
        <v>3453243.75</v>
      </c>
      <c r="X30" s="24" t="n">
        <f aca="false">P30*$B$9</f>
        <v>19441851</v>
      </c>
      <c r="Y30" s="24" t="n">
        <f aca="false">R30*(1-$B$14)</f>
        <v>247915.25</v>
      </c>
      <c r="Z30" s="24" t="n">
        <f aca="false">O30*($H$6*ROUNDUP($B$20/7,0)+$G$7*$B$20)</f>
        <v>82639.9104</v>
      </c>
      <c r="AA30" s="24" t="n">
        <f aca="false">O30*$G$7*$B$20</f>
        <v>55966.9104</v>
      </c>
      <c r="AB30" s="24" t="n">
        <f aca="false">O30*$G$8*$B$20</f>
        <v>21913.54128</v>
      </c>
      <c r="AC30" s="23"/>
      <c r="AD30" s="23"/>
      <c r="AE30" s="19" t="str">
        <f aca="false">IF(D30="Rural",AD30/AC30,"See Urban Site Plans")</f>
        <v>See Urban Site Plans</v>
      </c>
      <c r="AF30" s="17" t="s">
        <v>87</v>
      </c>
    </row>
    <row r="31" customFormat="false" ht="15" hidden="false" customHeight="false" outlineLevel="0" collapsed="false">
      <c r="A31" s="17" t="s">
        <v>100</v>
      </c>
      <c r="B31" s="17" t="s">
        <v>101</v>
      </c>
      <c r="C31" s="17" t="s">
        <v>102</v>
      </c>
      <c r="D31" s="17" t="s">
        <v>103</v>
      </c>
      <c r="E31" s="18" t="n">
        <v>62431</v>
      </c>
      <c r="F31" s="18" t="n">
        <v>12713</v>
      </c>
      <c r="G31" s="18" t="n">
        <v>845</v>
      </c>
      <c r="H31" s="19" t="n">
        <f aca="false">G31/F31</f>
        <v>0.0664673955793283</v>
      </c>
      <c r="I31" s="20" t="n">
        <f aca="false">IF(D31="Rural",$B$18,$B$19)</f>
        <v>10</v>
      </c>
      <c r="J31" s="21" t="n">
        <f aca="false">G31*$B$15</f>
        <v>211.25</v>
      </c>
      <c r="K31" s="22" t="n">
        <f aca="false">J31*$B$16/1000</f>
        <v>58.09375</v>
      </c>
      <c r="L31" s="22" t="n">
        <f aca="false">J31*$B$17/1000</f>
        <v>116.1875</v>
      </c>
      <c r="M31" s="18" t="n">
        <v>3</v>
      </c>
      <c r="N31" s="18" t="n">
        <v>4</v>
      </c>
      <c r="O31" s="21" t="n">
        <f aca="false">IF(D31="Rural",MAX(M31,ROUNDUP(L31/$B$21,0)),ROUNDUP(K31/$B$21,0))</f>
        <v>3</v>
      </c>
      <c r="P31" s="21" t="n">
        <f aca="false">IF(D31="Rural",MAX(N31,ROUNDUP(L31/$B$21,0)),ROUNDUP(L31/$B$21,0))</f>
        <v>4</v>
      </c>
      <c r="Q31" s="24" t="n">
        <f aca="false">O31*$B$6</f>
        <v>30000</v>
      </c>
      <c r="R31" s="24" t="n">
        <f aca="false">O31*$B$7</f>
        <v>174999</v>
      </c>
      <c r="S31" s="24" t="n">
        <f aca="false">O31*$B$8</f>
        <v>313931.25</v>
      </c>
      <c r="T31" s="24" t="n">
        <f aca="false">O31*$B$9</f>
        <v>1767441</v>
      </c>
      <c r="U31" s="24" t="n">
        <f aca="false">P31*$B$6</f>
        <v>40000</v>
      </c>
      <c r="V31" s="24" t="n">
        <f aca="false">P31*$B$7</f>
        <v>233332</v>
      </c>
      <c r="W31" s="24" t="n">
        <f aca="false">P31*$B$8</f>
        <v>418575</v>
      </c>
      <c r="X31" s="24" t="n">
        <f aca="false">P31*$B$9</f>
        <v>2356588</v>
      </c>
      <c r="Y31" s="24" t="n">
        <f aca="false">R31*(1-$B$14)</f>
        <v>43749.75</v>
      </c>
      <c r="Z31" s="24" t="n">
        <f aca="false">O31*($H$6*ROUNDUP($B$20/7,0)+$G$7*$B$20)</f>
        <v>14583.5136</v>
      </c>
      <c r="AA31" s="24" t="n">
        <f aca="false">O31*$G$7*$B$20</f>
        <v>9876.5136</v>
      </c>
      <c r="AB31" s="24" t="n">
        <f aca="false">O31*$G$8*$B$20</f>
        <v>3867.09552</v>
      </c>
      <c r="AC31" s="18" t="n">
        <v>829</v>
      </c>
      <c r="AD31" s="18" t="n">
        <v>805</v>
      </c>
      <c r="AE31" s="19" t="n">
        <f aca="false">IF(D31="Rural",AD31/AC31,"See Urban Site Plans")</f>
        <v>0.971049457177322</v>
      </c>
      <c r="AF31" s="17" t="s">
        <v>104</v>
      </c>
    </row>
    <row r="32" customFormat="false" ht="15" hidden="false" customHeight="false" outlineLevel="0" collapsed="false">
      <c r="A32" s="17" t="s">
        <v>105</v>
      </c>
      <c r="B32" s="17" t="s">
        <v>106</v>
      </c>
      <c r="C32" s="17" t="s">
        <v>107</v>
      </c>
      <c r="D32" s="17" t="s">
        <v>103</v>
      </c>
      <c r="E32" s="18" t="n">
        <v>26831</v>
      </c>
      <c r="F32" s="18" t="n">
        <v>6953</v>
      </c>
      <c r="G32" s="18" t="n">
        <v>875</v>
      </c>
      <c r="H32" s="19" t="n">
        <f aca="false">G32/F32</f>
        <v>0.125844959010499</v>
      </c>
      <c r="I32" s="20" t="n">
        <f aca="false">IF(D32="Rural",$B$18,$B$19)</f>
        <v>10</v>
      </c>
      <c r="J32" s="21" t="n">
        <f aca="false">G32*$B$15</f>
        <v>218.75</v>
      </c>
      <c r="K32" s="22" t="n">
        <f aca="false">J32*$B$16/1000</f>
        <v>60.15625</v>
      </c>
      <c r="L32" s="22" t="n">
        <f aca="false">J32*$B$17/1000</f>
        <v>120.3125</v>
      </c>
      <c r="M32" s="18" t="n">
        <v>2</v>
      </c>
      <c r="N32" s="18" t="n">
        <v>4</v>
      </c>
      <c r="O32" s="21" t="n">
        <f aca="false">IF(D32="Rural",MAX(M32,ROUNDUP(L32/$B$21,0)),ROUNDUP(K32/$B$21,0))</f>
        <v>2</v>
      </c>
      <c r="P32" s="21" t="n">
        <f aca="false">IF(D32="Rural",MAX(N32,ROUNDUP(L32/$B$21,0)),ROUNDUP(L32/$B$21,0))</f>
        <v>4</v>
      </c>
      <c r="Q32" s="24" t="n">
        <f aca="false">O32*$B$6</f>
        <v>20000</v>
      </c>
      <c r="R32" s="24" t="n">
        <f aca="false">O32*$B$7</f>
        <v>116666</v>
      </c>
      <c r="S32" s="24" t="n">
        <f aca="false">O32*$B$8</f>
        <v>209287.5</v>
      </c>
      <c r="T32" s="24" t="n">
        <f aca="false">O32*$B$9</f>
        <v>1178294</v>
      </c>
      <c r="U32" s="24" t="n">
        <f aca="false">P32*$B$6</f>
        <v>40000</v>
      </c>
      <c r="V32" s="24" t="n">
        <f aca="false">P32*$B$7</f>
        <v>233332</v>
      </c>
      <c r="W32" s="24" t="n">
        <f aca="false">P32*$B$8</f>
        <v>418575</v>
      </c>
      <c r="X32" s="24" t="n">
        <f aca="false">P32*$B$9</f>
        <v>2356588</v>
      </c>
      <c r="Y32" s="24" t="n">
        <f aca="false">R32*(1-$B$14)</f>
        <v>29166.5</v>
      </c>
      <c r="Z32" s="24" t="n">
        <f aca="false">O32*($H$6*ROUNDUP($B$20/7,0)+$G$7*$B$20)</f>
        <v>9722.3424</v>
      </c>
      <c r="AA32" s="24" t="n">
        <f aca="false">O32*$G$7*$B$20</f>
        <v>6584.3424</v>
      </c>
      <c r="AB32" s="24" t="n">
        <f aca="false">O32*$G$8*$B$20</f>
        <v>2578.06368</v>
      </c>
      <c r="AC32" s="18" t="n">
        <v>861</v>
      </c>
      <c r="AD32" s="18" t="n">
        <v>833</v>
      </c>
      <c r="AE32" s="19" t="n">
        <f aca="false">IF(D32="Rural",AD32/AC32,"See Urban Site Plans")</f>
        <v>0.967479674796748</v>
      </c>
      <c r="AF32" s="17" t="s">
        <v>108</v>
      </c>
    </row>
    <row r="33" customFormat="false" ht="15" hidden="false" customHeight="false" outlineLevel="0" collapsed="false">
      <c r="A33" s="17" t="s">
        <v>109</v>
      </c>
      <c r="B33" s="17" t="s">
        <v>110</v>
      </c>
      <c r="C33" s="17" t="s">
        <v>111</v>
      </c>
      <c r="D33" s="17" t="s">
        <v>103</v>
      </c>
      <c r="E33" s="18" t="n">
        <v>31268</v>
      </c>
      <c r="F33" s="18" t="n">
        <v>11023</v>
      </c>
      <c r="G33" s="18" t="n">
        <v>466</v>
      </c>
      <c r="H33" s="19" t="n">
        <f aca="false">G33/F33</f>
        <v>0.0422752426744081</v>
      </c>
      <c r="I33" s="20" t="n">
        <f aca="false">IF(D33="Rural",$B$18,$B$19)</f>
        <v>10</v>
      </c>
      <c r="J33" s="21" t="n">
        <f aca="false">G33*$B$15</f>
        <v>116.5</v>
      </c>
      <c r="K33" s="22" t="n">
        <f aca="false">J33*$B$16/1000</f>
        <v>32.0375</v>
      </c>
      <c r="L33" s="22" t="n">
        <f aca="false">J33*$B$17/1000</f>
        <v>64.075</v>
      </c>
      <c r="M33" s="18" t="n">
        <v>5</v>
      </c>
      <c r="N33" s="18" t="n">
        <v>8</v>
      </c>
      <c r="O33" s="21" t="n">
        <f aca="false">IF(D33="Rural",MAX(M33,ROUNDUP(L33/$B$21,0)),ROUNDUP(K33/$B$21,0))</f>
        <v>5</v>
      </c>
      <c r="P33" s="21" t="n">
        <f aca="false">IF(D33="Rural",MAX(N33,ROUNDUP(L33/$B$21,0)),ROUNDUP(L33/$B$21,0))</f>
        <v>8</v>
      </c>
      <c r="Q33" s="24" t="n">
        <f aca="false">O33*$B$6</f>
        <v>50000</v>
      </c>
      <c r="R33" s="24" t="n">
        <f aca="false">O33*$B$7</f>
        <v>291665</v>
      </c>
      <c r="S33" s="24" t="n">
        <f aca="false">O33*$B$8</f>
        <v>523218.75</v>
      </c>
      <c r="T33" s="24" t="n">
        <f aca="false">O33*$B$9</f>
        <v>2945735</v>
      </c>
      <c r="U33" s="24" t="n">
        <f aca="false">P33*$B$6</f>
        <v>80000</v>
      </c>
      <c r="V33" s="24" t="n">
        <f aca="false">P33*$B$7</f>
        <v>466664</v>
      </c>
      <c r="W33" s="24" t="n">
        <f aca="false">P33*$B$8</f>
        <v>837150</v>
      </c>
      <c r="X33" s="24" t="n">
        <f aca="false">P33*$B$9</f>
        <v>4713176</v>
      </c>
      <c r="Y33" s="24" t="n">
        <f aca="false">R33*(1-$B$14)</f>
        <v>72916.25</v>
      </c>
      <c r="Z33" s="24" t="n">
        <f aca="false">O33*($H$6*ROUNDUP($B$20/7,0)+$G$7*$B$20)</f>
        <v>24305.856</v>
      </c>
      <c r="AA33" s="24" t="n">
        <f aca="false">O33*$G$7*$B$20</f>
        <v>16460.856</v>
      </c>
      <c r="AB33" s="24" t="n">
        <f aca="false">O33*$G$8*$B$20</f>
        <v>6445.1592</v>
      </c>
      <c r="AC33" s="18" t="n">
        <v>477</v>
      </c>
      <c r="AD33" s="18" t="n">
        <v>438</v>
      </c>
      <c r="AE33" s="19" t="n">
        <f aca="false">IF(D33="Rural",AD33/AC33,"See Urban Site Plans")</f>
        <v>0.918238993710692</v>
      </c>
      <c r="AF33" s="17" t="s">
        <v>108</v>
      </c>
    </row>
    <row r="34" customFormat="false" ht="15" hidden="false" customHeight="false" outlineLevel="0" collapsed="false">
      <c r="A34" s="17" t="s">
        <v>112</v>
      </c>
      <c r="B34" s="17" t="s">
        <v>113</v>
      </c>
      <c r="C34" s="17" t="s">
        <v>114</v>
      </c>
      <c r="D34" s="17" t="s">
        <v>103</v>
      </c>
      <c r="E34" s="18" t="n">
        <v>13124</v>
      </c>
      <c r="F34" s="18" t="n">
        <v>2101</v>
      </c>
      <c r="G34" s="18" t="n">
        <v>223</v>
      </c>
      <c r="H34" s="19" t="n">
        <f aca="false">G34/F34</f>
        <v>0.106139933365064</v>
      </c>
      <c r="I34" s="20" t="n">
        <f aca="false">IF(D34="Rural",$B$18,$B$19)</f>
        <v>10</v>
      </c>
      <c r="J34" s="21" t="n">
        <f aca="false">G34*$B$15</f>
        <v>55.75</v>
      </c>
      <c r="K34" s="22" t="n">
        <f aca="false">J34*$B$16/1000</f>
        <v>15.33125</v>
      </c>
      <c r="L34" s="22" t="n">
        <f aca="false">J34*$B$17/1000</f>
        <v>30.6625</v>
      </c>
      <c r="M34" s="18" t="n">
        <v>8</v>
      </c>
      <c r="N34" s="18" t="n">
        <v>10</v>
      </c>
      <c r="O34" s="21" t="n">
        <f aca="false">IF(D34="Rural",MAX(M34,ROUNDUP(L34/$B$21,0)),ROUNDUP(K34/$B$21,0))</f>
        <v>8</v>
      </c>
      <c r="P34" s="21" t="n">
        <f aca="false">IF(D34="Rural",MAX(N34,ROUNDUP(L34/$B$21,0)),ROUNDUP(L34/$B$21,0))</f>
        <v>10</v>
      </c>
      <c r="Q34" s="24" t="n">
        <f aca="false">O34*$B$6</f>
        <v>80000</v>
      </c>
      <c r="R34" s="24" t="n">
        <f aca="false">O34*$B$7</f>
        <v>466664</v>
      </c>
      <c r="S34" s="24" t="n">
        <f aca="false">O34*$B$8</f>
        <v>837150</v>
      </c>
      <c r="T34" s="24" t="n">
        <f aca="false">O34*$B$9</f>
        <v>4713176</v>
      </c>
      <c r="U34" s="24" t="n">
        <f aca="false">P34*$B$6</f>
        <v>100000</v>
      </c>
      <c r="V34" s="24" t="n">
        <f aca="false">P34*$B$7</f>
        <v>583330</v>
      </c>
      <c r="W34" s="24" t="n">
        <f aca="false">P34*$B$8</f>
        <v>1046437.5</v>
      </c>
      <c r="X34" s="24" t="n">
        <f aca="false">P34*$B$9</f>
        <v>5891470</v>
      </c>
      <c r="Y34" s="24" t="n">
        <f aca="false">R34*(1-$B$14)</f>
        <v>116666</v>
      </c>
      <c r="Z34" s="24" t="n">
        <f aca="false">O34*($H$6*ROUNDUP($B$20/7,0)+$G$7*$B$20)</f>
        <v>38889.3696</v>
      </c>
      <c r="AA34" s="24" t="n">
        <f aca="false">O34*$G$7*$B$20</f>
        <v>26337.3696</v>
      </c>
      <c r="AB34" s="24" t="n">
        <f aca="false">O34*$G$8*$B$20</f>
        <v>10312.25472</v>
      </c>
      <c r="AC34" s="18" t="n">
        <v>223</v>
      </c>
      <c r="AD34" s="18" t="n">
        <v>201</v>
      </c>
      <c r="AE34" s="19" t="n">
        <f aca="false">IF(D34="Rural",AD34/AC34,"See Urban Site Plans")</f>
        <v>0.901345291479821</v>
      </c>
      <c r="AF34" s="17" t="s">
        <v>108</v>
      </c>
    </row>
    <row r="35" customFormat="false" ht="15" hidden="false" customHeight="false" outlineLevel="0" collapsed="false">
      <c r="A35" s="17" t="s">
        <v>115</v>
      </c>
      <c r="B35" s="17" t="s">
        <v>116</v>
      </c>
      <c r="C35" s="17" t="s">
        <v>117</v>
      </c>
      <c r="D35" s="17" t="s">
        <v>103</v>
      </c>
      <c r="E35" s="18" t="n">
        <v>25971</v>
      </c>
      <c r="F35" s="18" t="n">
        <v>4842</v>
      </c>
      <c r="G35" s="18" t="n">
        <v>359</v>
      </c>
      <c r="H35" s="19" t="n">
        <f aca="false">G35/F35</f>
        <v>0.0741429161503511</v>
      </c>
      <c r="I35" s="20" t="n">
        <f aca="false">IF(D35="Rural",$B$18,$B$19)</f>
        <v>10</v>
      </c>
      <c r="J35" s="21" t="n">
        <f aca="false">G35*$B$15</f>
        <v>89.75</v>
      </c>
      <c r="K35" s="22" t="n">
        <f aca="false">J35*$B$16/1000</f>
        <v>24.68125</v>
      </c>
      <c r="L35" s="22" t="n">
        <f aca="false">J35*$B$17/1000</f>
        <v>49.3625</v>
      </c>
      <c r="M35" s="18" t="n">
        <v>3</v>
      </c>
      <c r="N35" s="18" t="n">
        <v>4</v>
      </c>
      <c r="O35" s="21" t="n">
        <f aca="false">IF(D35="Rural",MAX(M35,ROUNDUP(L35/$B$21,0)),ROUNDUP(K35/$B$21,0))</f>
        <v>3</v>
      </c>
      <c r="P35" s="21" t="n">
        <f aca="false">IF(D35="Rural",MAX(N35,ROUNDUP(L35/$B$21,0)),ROUNDUP(L35/$B$21,0))</f>
        <v>4</v>
      </c>
      <c r="Q35" s="24" t="n">
        <f aca="false">O35*$B$6</f>
        <v>30000</v>
      </c>
      <c r="R35" s="24" t="n">
        <f aca="false">O35*$B$7</f>
        <v>174999</v>
      </c>
      <c r="S35" s="24" t="n">
        <f aca="false">O35*$B$8</f>
        <v>313931.25</v>
      </c>
      <c r="T35" s="24" t="n">
        <f aca="false">O35*$B$9</f>
        <v>1767441</v>
      </c>
      <c r="U35" s="24" t="n">
        <f aca="false">P35*$B$6</f>
        <v>40000</v>
      </c>
      <c r="V35" s="24" t="n">
        <f aca="false">P35*$B$7</f>
        <v>233332</v>
      </c>
      <c r="W35" s="24" t="n">
        <f aca="false">P35*$B$8</f>
        <v>418575</v>
      </c>
      <c r="X35" s="24" t="n">
        <f aca="false">P35*$B$9</f>
        <v>2356588</v>
      </c>
      <c r="Y35" s="24" t="n">
        <f aca="false">R35*(1-$B$14)</f>
        <v>43749.75</v>
      </c>
      <c r="Z35" s="24" t="n">
        <f aca="false">O35*($H$6*ROUNDUP($B$20/7,0)+$G$7*$B$20)</f>
        <v>14583.5136</v>
      </c>
      <c r="AA35" s="24" t="n">
        <f aca="false">O35*$G$7*$B$20</f>
        <v>9876.5136</v>
      </c>
      <c r="AB35" s="24" t="n">
        <f aca="false">O35*$G$8*$B$20</f>
        <v>3867.09552</v>
      </c>
      <c r="AC35" s="18" t="n">
        <v>359</v>
      </c>
      <c r="AD35" s="18" t="n">
        <v>345</v>
      </c>
      <c r="AE35" s="19" t="n">
        <f aca="false">IF(D35="Rural",AD35/AC35,"See Urban Site Plans")</f>
        <v>0.96100278551532</v>
      </c>
      <c r="AF35" s="17" t="s">
        <v>108</v>
      </c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customFormat="false" ht="15" hidden="false" customHeight="false" outlineLevel="0" collapsed="false">
      <c r="A37" s="6" t="s">
        <v>118</v>
      </c>
      <c r="B37" s="2"/>
      <c r="C37" s="2"/>
      <c r="D37" s="2"/>
      <c r="E37" s="25" t="n">
        <f aca="false">SUMIFS(E26:E35,$D$26:$D$35,"Urban")</f>
        <v>27143030</v>
      </c>
      <c r="F37" s="2"/>
      <c r="G37" s="25" t="n">
        <f aca="false">SUMIFS(G26:G35,$D$26:$D$35,"Urban")</f>
        <v>185925</v>
      </c>
      <c r="H37" s="2"/>
      <c r="I37" s="2"/>
      <c r="J37" s="2"/>
      <c r="K37" s="2"/>
      <c r="L37" s="2"/>
      <c r="M37" s="2"/>
      <c r="N37" s="2"/>
      <c r="O37" s="25" t="n">
        <f aca="false">SUMIFS(O26:O35,$D$26:$D$35,"Urban")</f>
        <v>131</v>
      </c>
      <c r="P37" s="25" t="n">
        <f aca="false">SUMIFS(P26:P35,$D$26:$D$35,"Urban")</f>
        <v>259</v>
      </c>
      <c r="Q37" s="26" t="n">
        <f aca="false">SUMIFS(Q26:Q35,$D$26:$D$35,"Urban")</f>
        <v>1310000</v>
      </c>
      <c r="R37" s="26" t="n">
        <f aca="false">SUMIFS(R26:R35,$D$26:$D$35,"Urban")</f>
        <v>7641623</v>
      </c>
      <c r="S37" s="26" t="n">
        <f aca="false">SUMIFS(S26:S35,$D$26:$D$35,"Urban")</f>
        <v>13708331.25</v>
      </c>
      <c r="T37" s="26" t="n">
        <f aca="false">SUMIFS(T26:T35,$D$26:$D$35,"Urban")</f>
        <v>77178257</v>
      </c>
      <c r="U37" s="26" t="n">
        <f aca="false">SUMIFS(U26:U35,$D$26:$D$35,"Urban")</f>
        <v>2590000</v>
      </c>
      <c r="V37" s="26" t="n">
        <f aca="false">SUMIFS(V26:V35,$D$26:$D$35,"Urban")</f>
        <v>15108247</v>
      </c>
      <c r="W37" s="26" t="n">
        <f aca="false">SUMIFS(W26:W35,$D$26:$D$35,"Urban")</f>
        <v>27102731.25</v>
      </c>
      <c r="X37" s="26" t="n">
        <f aca="false">SUMIFS(X26:X35,$D$26:$D$35,"Urban")</f>
        <v>152589073</v>
      </c>
      <c r="Y37" s="26" t="n">
        <f aca="false">SUMIFS(Y26:Y35,$D$26:$D$35,"Urban")</f>
        <v>1910405.75</v>
      </c>
      <c r="Z37" s="26" t="n">
        <f aca="false">SUMIFS(Z26:Z35,$D$26:$D$35,"Urban")</f>
        <v>636813.4272</v>
      </c>
      <c r="AA37" s="26" t="n">
        <f aca="false">SUMIFS(AA26:AA35,$D$26:$D$35,"Urban")</f>
        <v>431274.4272</v>
      </c>
      <c r="AB37" s="26" t="n">
        <f aca="false">SUMIFS(AB26:AB35,$D$26:$D$35,"Urban")</f>
        <v>168863.17104</v>
      </c>
      <c r="AC37" s="2"/>
      <c r="AD37" s="2"/>
      <c r="AE37" s="2"/>
      <c r="AF37" s="2"/>
    </row>
    <row r="38" customFormat="false" ht="15" hidden="false" customHeight="false" outlineLevel="0" collapsed="false">
      <c r="A38" s="6" t="s">
        <v>119</v>
      </c>
      <c r="B38" s="2"/>
      <c r="C38" s="2"/>
      <c r="D38" s="2"/>
      <c r="E38" s="25" t="n">
        <f aca="false">SUMIFS(E26:E35,$D$26:$D$35,"Rural")</f>
        <v>159625</v>
      </c>
      <c r="F38" s="2"/>
      <c r="G38" s="25" t="n">
        <f aca="false">SUMIFS(G26:G35,$D$26:$D$35,"Rural")</f>
        <v>2768</v>
      </c>
      <c r="H38" s="2"/>
      <c r="I38" s="2"/>
      <c r="J38" s="2"/>
      <c r="K38" s="2"/>
      <c r="L38" s="2"/>
      <c r="M38" s="2"/>
      <c r="N38" s="2"/>
      <c r="O38" s="25" t="n">
        <f aca="false">SUMIFS(O26:O35,$D$26:$D$35,"Rural")</f>
        <v>21</v>
      </c>
      <c r="P38" s="25" t="n">
        <f aca="false">SUMIFS(P26:P35,$D$26:$D$35,"Rural")</f>
        <v>30</v>
      </c>
      <c r="Q38" s="26" t="n">
        <f aca="false">SUMIFS(Q26:Q35,$D$26:$D$35,"Rural")</f>
        <v>210000</v>
      </c>
      <c r="R38" s="26" t="n">
        <f aca="false">SUMIFS(R26:R35,$D$26:$D$35,"Rural")</f>
        <v>1224993</v>
      </c>
      <c r="S38" s="26" t="n">
        <f aca="false">SUMIFS(S26:S35,$D$26:$D$35,"Rural")</f>
        <v>2197518.75</v>
      </c>
      <c r="T38" s="26" t="n">
        <f aca="false">SUMIFS(T26:T35,$D$26:$D$35,"Rural")</f>
        <v>12372087</v>
      </c>
      <c r="U38" s="26" t="n">
        <f aca="false">SUMIFS(U26:U35,$D$26:$D$35,"Rural")</f>
        <v>300000</v>
      </c>
      <c r="V38" s="26" t="n">
        <f aca="false">SUMIFS(V26:V35,$D$26:$D$35,"Rural")</f>
        <v>1749990</v>
      </c>
      <c r="W38" s="26" t="n">
        <f aca="false">SUMIFS(W26:W35,$D$26:$D$35,"Rural")</f>
        <v>3139312.5</v>
      </c>
      <c r="X38" s="26" t="n">
        <f aca="false">SUMIFS(X26:X35,$D$26:$D$35,"Rural")</f>
        <v>17674410</v>
      </c>
      <c r="Y38" s="26" t="n">
        <f aca="false">SUMIFS(Y26:Y35,$D$26:$D$35,"Rural")</f>
        <v>306248.25</v>
      </c>
      <c r="Z38" s="26" t="n">
        <f aca="false">SUMIFS(Z26:Z35,$D$26:$D$35,"Rural")</f>
        <v>102084.5952</v>
      </c>
      <c r="AA38" s="26" t="n">
        <f aca="false">SUMIFS(AA26:AA35,$D$26:$D$35,"Rural")</f>
        <v>69135.5952</v>
      </c>
      <c r="AB38" s="26" t="n">
        <f aca="false">SUMIFS(AB26:AB35,$D$26:$D$35,"Rural")</f>
        <v>27069.66864</v>
      </c>
      <c r="AC38" s="2"/>
      <c r="AD38" s="2"/>
      <c r="AE38" s="2"/>
      <c r="AF38" s="2"/>
    </row>
    <row r="39" customFormat="false" ht="15" hidden="false" customHeight="false" outlineLevel="0" collapsed="false">
      <c r="A39" s="6" t="s">
        <v>120</v>
      </c>
      <c r="B39" s="2"/>
      <c r="C39" s="2"/>
      <c r="D39" s="2"/>
      <c r="E39" s="25" t="n">
        <f aca="false">SUM(E26:E35)</f>
        <v>27302655</v>
      </c>
      <c r="F39" s="2"/>
      <c r="G39" s="25" t="n">
        <f aca="false">SUM(G26:G35)</f>
        <v>188693</v>
      </c>
      <c r="H39" s="2"/>
      <c r="I39" s="2"/>
      <c r="J39" s="2"/>
      <c r="K39" s="2"/>
      <c r="L39" s="2"/>
      <c r="M39" s="2"/>
      <c r="N39" s="2"/>
      <c r="O39" s="25" t="n">
        <f aca="false">SUM(O26:O35)</f>
        <v>152</v>
      </c>
      <c r="P39" s="25" t="n">
        <f aca="false">SUM(P26:P35)</f>
        <v>289</v>
      </c>
      <c r="Q39" s="26" t="n">
        <f aca="false">SUM(Q26:Q35)</f>
        <v>1520000</v>
      </c>
      <c r="R39" s="26" t="n">
        <f aca="false">SUM(R26:R35)</f>
        <v>8866616</v>
      </c>
      <c r="S39" s="26" t="n">
        <f aca="false">SUM(S26:S35)</f>
        <v>15905850</v>
      </c>
      <c r="T39" s="26" t="n">
        <f aca="false">SUM(T26:T35)</f>
        <v>89550344</v>
      </c>
      <c r="U39" s="26" t="n">
        <f aca="false">SUM(U26:U35)</f>
        <v>2890000</v>
      </c>
      <c r="V39" s="26" t="n">
        <f aca="false">SUM(V26:V35)</f>
        <v>16858237</v>
      </c>
      <c r="W39" s="26" t="n">
        <f aca="false">SUM(W26:W35)</f>
        <v>30242043.75</v>
      </c>
      <c r="X39" s="26" t="n">
        <f aca="false">SUM(X26:X35)</f>
        <v>170263483</v>
      </c>
      <c r="Y39" s="26" t="n">
        <f aca="false">SUM(Y26:Y35)</f>
        <v>2216654</v>
      </c>
      <c r="Z39" s="26" t="n">
        <f aca="false">SUM(Z26:Z35)</f>
        <v>738898.0224</v>
      </c>
      <c r="AA39" s="26" t="n">
        <f aca="false">SUM(AA26:AA35)</f>
        <v>500410.0224</v>
      </c>
      <c r="AB39" s="26" t="n">
        <f aca="false">SUM(AB26:AB35)</f>
        <v>195932.83968</v>
      </c>
      <c r="AC39" s="2"/>
      <c r="AD39" s="2"/>
      <c r="AE39" s="2"/>
      <c r="AF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customFormat="false" ht="15" hidden="false" customHeight="false" outlineLevel="0" collapsed="false">
      <c r="A41" s="6" t="s">
        <v>121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customFormat="false" ht="15" hidden="false" customHeight="false" outlineLevel="0" collapsed="false">
      <c r="A42" s="8" t="s">
        <v>122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customFormat="false" ht="15" hidden="false" customHeight="false" outlineLevel="0" collapsed="false">
      <c r="A43" s="8" t="s">
        <v>123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customFormat="false" ht="15" hidden="false" customHeight="false" outlineLevel="0" collapsed="false">
      <c r="A44" s="8" t="s">
        <v>124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customFormat="false" ht="15" hidden="false" customHeight="false" outlineLevel="0" collapsed="false">
      <c r="A45" s="8" t="s">
        <v>125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customFormat="false" ht="15" hidden="false" customHeight="false" outlineLevel="0" collapsed="false">
      <c r="A46" s="8" t="s">
        <v>126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customFormat="false" ht="15" hidden="false" customHeight="false" outlineLevel="0" collapsed="false">
      <c r="A47" s="8" t="s">
        <v>127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customFormat="false" ht="15" hidden="false" customHeight="false" outlineLevel="0" collapsed="false">
      <c r="A48" s="8" t="s">
        <v>128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customFormat="false" ht="15" hidden="false" customHeight="false" outlineLevel="0" collapsed="false">
      <c r="A50" s="6" t="s">
        <v>129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customFormat="false" ht="15" hidden="false" customHeight="false" outlineLevel="0" collapsed="false">
      <c r="A51" s="8" t="s">
        <v>130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customFormat="false" ht="15" hidden="false" customHeight="false" outlineLevel="0" collapsed="false">
      <c r="A52" s="8" t="s">
        <v>131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customFormat="false" ht="15" hidden="false" customHeight="false" outlineLevel="0" collapsed="false">
      <c r="A53" s="8" t="s">
        <v>132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customFormat="false" ht="15" hidden="false" customHeight="false" outlineLevel="0" collapsed="false">
      <c r="A54" s="8" t="s">
        <v>133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customFormat="false" ht="15" hidden="false" customHeight="false" outlineLevel="0" collapsed="false">
      <c r="A55" s="8" t="s">
        <v>134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customFormat="false" ht="15" hidden="false" customHeight="false" outlineLevel="0" collapsed="false">
      <c r="A56" s="8" t="s">
        <v>135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customFormat="false" ht="15" hidden="false" customHeight="false" outlineLevel="0" collapsed="false">
      <c r="A57" s="8" t="s">
        <v>136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customFormat="false" ht="15" hidden="false" customHeight="false" outlineLevel="0" collapsed="false">
      <c r="A58" s="8" t="s">
        <v>137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customFormat="false" ht="15" hidden="false" customHeight="false" outlineLevel="0" collapsed="false">
      <c r="A59" s="8" t="s">
        <v>138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customFormat="false" ht="15" hidden="false" customHeight="false" outlineLevel="0" collapsed="false">
      <c r="A60" s="8" t="s">
        <v>139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customFormat="false" ht="15" hidden="false" customHeight="false" outlineLevel="0" collapsed="false">
      <c r="A61" s="8" t="s">
        <v>140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customFormat="false" ht="15" hidden="false" customHeight="false" outlineLevel="0" collapsed="false">
      <c r="A62" s="8" t="s">
        <v>141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customFormat="false" ht="15" hidden="false" customHeight="false" outlineLevel="0" collapsed="false">
      <c r="A63" s="8" t="s">
        <v>142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customFormat="false" ht="15" hidden="false" customHeight="false" outlineLevel="0" collapsed="false">
      <c r="A64" s="8" t="s">
        <v>143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7" min="5" style="0" width="12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3" min="11" style="0" width="14"/>
    <col collapsed="false" customWidth="true" hidden="false" outlineLevel="0" max="14" min="14" style="0" width="15"/>
  </cols>
  <sheetData>
    <row r="1" customFormat="false" ht="17.35" hidden="false" customHeight="false" outlineLevel="0" collapsed="false">
      <c r="A1" s="1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3" t="s">
        <v>145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48" hidden="false" customHeight="true" outlineLevel="0" collapsed="false">
      <c r="A4" s="5" t="s">
        <v>52</v>
      </c>
      <c r="B4" s="5" t="s">
        <v>146</v>
      </c>
      <c r="C4" s="5" t="s">
        <v>147</v>
      </c>
      <c r="D4" s="5" t="s">
        <v>148</v>
      </c>
      <c r="E4" s="5" t="s">
        <v>149</v>
      </c>
      <c r="F4" s="5" t="s">
        <v>150</v>
      </c>
      <c r="G4" s="5" t="s">
        <v>151</v>
      </c>
      <c r="H4" s="5" t="s">
        <v>152</v>
      </c>
      <c r="I4" s="5" t="s">
        <v>153</v>
      </c>
      <c r="J4" s="5" t="s">
        <v>154</v>
      </c>
      <c r="K4" s="5" t="s">
        <v>67</v>
      </c>
      <c r="L4" s="5" t="s">
        <v>68</v>
      </c>
      <c r="M4" s="5" t="s">
        <v>69</v>
      </c>
      <c r="N4" s="5" t="s">
        <v>70</v>
      </c>
    </row>
    <row r="5" customFormat="false" ht="15" hidden="false" customHeight="false" outlineLevel="0" collapsed="false">
      <c r="A5" s="17" t="s">
        <v>155</v>
      </c>
      <c r="B5" s="27" t="n">
        <v>1</v>
      </c>
      <c r="C5" s="27" t="s">
        <v>156</v>
      </c>
      <c r="D5" s="27" t="s">
        <v>157</v>
      </c>
      <c r="E5" s="18" t="n">
        <v>597</v>
      </c>
      <c r="F5" s="18" t="n">
        <v>597</v>
      </c>
      <c r="G5" s="18" t="n">
        <v>829</v>
      </c>
      <c r="H5" s="19" t="n">
        <f aca="false">F5/G5</f>
        <v>0.720144752714113</v>
      </c>
      <c r="I5" s="18" t="n">
        <v>597</v>
      </c>
      <c r="J5" s="19" t="n">
        <f aca="false">F5/I5</f>
        <v>1</v>
      </c>
      <c r="K5" s="28" t="n">
        <f aca="false">B5*'County Plans'!$B$6</f>
        <v>10000</v>
      </c>
      <c r="L5" s="28" t="n">
        <f aca="false">B5*'County Plans'!$B$7</f>
        <v>58333</v>
      </c>
      <c r="M5" s="28" t="n">
        <f aca="false">B5*'County Plans'!$B$8</f>
        <v>104643.75</v>
      </c>
      <c r="N5" s="28" t="n">
        <f aca="false">B5*'County Plans'!$B$9</f>
        <v>589147</v>
      </c>
    </row>
    <row r="6" customFormat="false" ht="15" hidden="false" customHeight="false" outlineLevel="0" collapsed="false">
      <c r="A6" s="17" t="s">
        <v>155</v>
      </c>
      <c r="B6" s="27" t="n">
        <v>2</v>
      </c>
      <c r="C6" s="27" t="s">
        <v>158</v>
      </c>
      <c r="D6" s="27" t="s">
        <v>159</v>
      </c>
      <c r="E6" s="18" t="n">
        <v>107</v>
      </c>
      <c r="F6" s="18" t="n">
        <v>704</v>
      </c>
      <c r="G6" s="18" t="n">
        <v>829</v>
      </c>
      <c r="H6" s="19" t="n">
        <f aca="false">F6/G6</f>
        <v>0.849215922798553</v>
      </c>
      <c r="I6" s="18" t="n">
        <v>704</v>
      </c>
      <c r="J6" s="19" t="n">
        <f aca="false">F6/I6</f>
        <v>1</v>
      </c>
      <c r="K6" s="28" t="n">
        <f aca="false">B6*'County Plans'!$B$6</f>
        <v>20000</v>
      </c>
      <c r="L6" s="28" t="n">
        <f aca="false">B6*'County Plans'!$B$7</f>
        <v>116666</v>
      </c>
      <c r="M6" s="28" t="n">
        <f aca="false">B6*'County Plans'!$B$8</f>
        <v>209287.5</v>
      </c>
      <c r="N6" s="28" t="n">
        <f aca="false">B6*'County Plans'!$B$9</f>
        <v>1178294</v>
      </c>
    </row>
    <row r="7" customFormat="false" ht="15" hidden="false" customHeight="false" outlineLevel="0" collapsed="false">
      <c r="A7" s="17" t="s">
        <v>155</v>
      </c>
      <c r="B7" s="27" t="n">
        <v>3</v>
      </c>
      <c r="C7" s="27" t="s">
        <v>160</v>
      </c>
      <c r="D7" s="27" t="s">
        <v>161</v>
      </c>
      <c r="E7" s="18" t="n">
        <v>101</v>
      </c>
      <c r="F7" s="18" t="n">
        <v>805</v>
      </c>
      <c r="G7" s="18" t="n">
        <v>829</v>
      </c>
      <c r="H7" s="19" t="n">
        <f aca="false">F7/G7</f>
        <v>0.971049457177322</v>
      </c>
      <c r="I7" s="18" t="n">
        <v>805</v>
      </c>
      <c r="J7" s="19" t="n">
        <f aca="false">F7/I7</f>
        <v>1</v>
      </c>
      <c r="K7" s="28" t="n">
        <f aca="false">B7*'County Plans'!$B$6</f>
        <v>30000</v>
      </c>
      <c r="L7" s="28" t="n">
        <f aca="false">B7*'County Plans'!$B$7</f>
        <v>174999</v>
      </c>
      <c r="M7" s="28" t="n">
        <f aca="false">B7*'County Plans'!$B$8</f>
        <v>313931.25</v>
      </c>
      <c r="N7" s="28" t="n">
        <f aca="false">B7*'County Plans'!$B$9</f>
        <v>1767441</v>
      </c>
    </row>
    <row r="8" customFormat="false" ht="15" hidden="false" customHeight="false" outlineLevel="0" collapsed="false">
      <c r="A8" s="17" t="s">
        <v>162</v>
      </c>
      <c r="B8" s="27" t="n">
        <v>1</v>
      </c>
      <c r="C8" s="27" t="s">
        <v>163</v>
      </c>
      <c r="D8" s="27" t="s">
        <v>164</v>
      </c>
      <c r="E8" s="18" t="n">
        <v>638</v>
      </c>
      <c r="F8" s="18" t="n">
        <v>638</v>
      </c>
      <c r="G8" s="18" t="n">
        <v>861</v>
      </c>
      <c r="H8" s="19" t="n">
        <f aca="false">F8/G8</f>
        <v>0.740998838559814</v>
      </c>
      <c r="I8" s="18" t="n">
        <v>638</v>
      </c>
      <c r="J8" s="19" t="n">
        <f aca="false">IF(ISNUMBER(I8),F8/I8,"")</f>
        <v>1</v>
      </c>
      <c r="K8" s="28" t="n">
        <f aca="false">B8*'County Plans'!$B$6</f>
        <v>10000</v>
      </c>
      <c r="L8" s="28" t="n">
        <f aca="false">B8*'County Plans'!$B$7</f>
        <v>58333</v>
      </c>
      <c r="M8" s="28" t="n">
        <f aca="false">B8*'County Plans'!$B$8</f>
        <v>104643.75</v>
      </c>
      <c r="N8" s="28" t="n">
        <f aca="false">B8*'County Plans'!$B$9</f>
        <v>589147</v>
      </c>
    </row>
    <row r="9" customFormat="false" ht="15" hidden="false" customHeight="false" outlineLevel="0" collapsed="false">
      <c r="A9" s="17" t="s">
        <v>162</v>
      </c>
      <c r="B9" s="27" t="n">
        <v>2</v>
      </c>
      <c r="C9" s="27" t="s">
        <v>165</v>
      </c>
      <c r="D9" s="27" t="s">
        <v>166</v>
      </c>
      <c r="E9" s="18" t="n">
        <v>195</v>
      </c>
      <c r="F9" s="18" t="n">
        <v>833</v>
      </c>
      <c r="G9" s="18" t="n">
        <v>861</v>
      </c>
      <c r="H9" s="19" t="n">
        <f aca="false">F9/G9</f>
        <v>0.967479674796748</v>
      </c>
      <c r="I9" s="18" t="n">
        <v>833</v>
      </c>
      <c r="J9" s="19" t="n">
        <f aca="false">IF(ISNUMBER(I9),F9/I9,"")</f>
        <v>1</v>
      </c>
      <c r="K9" s="28" t="n">
        <f aca="false">B9*'County Plans'!$B$6</f>
        <v>20000</v>
      </c>
      <c r="L9" s="28" t="n">
        <f aca="false">B9*'County Plans'!$B$7</f>
        <v>116666</v>
      </c>
      <c r="M9" s="28" t="n">
        <f aca="false">B9*'County Plans'!$B$8</f>
        <v>209287.5</v>
      </c>
      <c r="N9" s="28" t="n">
        <f aca="false">B9*'County Plans'!$B$9</f>
        <v>1178294</v>
      </c>
    </row>
    <row r="10" customFormat="false" ht="15" hidden="false" customHeight="false" outlineLevel="0" collapsed="false">
      <c r="A10" s="17" t="s">
        <v>162</v>
      </c>
      <c r="B10" s="27" t="n">
        <v>3</v>
      </c>
      <c r="C10" s="27" t="s">
        <v>167</v>
      </c>
      <c r="D10" s="27" t="s">
        <v>168</v>
      </c>
      <c r="E10" s="18" t="n">
        <v>17</v>
      </c>
      <c r="F10" s="18" t="n">
        <v>850</v>
      </c>
      <c r="G10" s="18" t="n">
        <v>861</v>
      </c>
      <c r="H10" s="19" t="n">
        <f aca="false">F10/G10</f>
        <v>0.987224157955865</v>
      </c>
      <c r="I10" s="18" t="n">
        <v>861</v>
      </c>
      <c r="J10" s="19" t="n">
        <f aca="false">IF(ISNUMBER(I10),F10/I10,"")</f>
        <v>0.987224157955865</v>
      </c>
      <c r="K10" s="28" t="n">
        <f aca="false">B10*'County Plans'!$B$6</f>
        <v>30000</v>
      </c>
      <c r="L10" s="28" t="n">
        <f aca="false">B10*'County Plans'!$B$7</f>
        <v>174999</v>
      </c>
      <c r="M10" s="28" t="n">
        <f aca="false">B10*'County Plans'!$B$8</f>
        <v>313931.25</v>
      </c>
      <c r="N10" s="28" t="n">
        <f aca="false">B10*'County Plans'!$B$9</f>
        <v>1767441</v>
      </c>
    </row>
    <row r="11" customFormat="false" ht="15" hidden="false" customHeight="false" outlineLevel="0" collapsed="false">
      <c r="A11" s="17" t="s">
        <v>162</v>
      </c>
      <c r="B11" s="27" t="n">
        <v>4</v>
      </c>
      <c r="C11" s="27" t="s">
        <v>169</v>
      </c>
      <c r="D11" s="27" t="s">
        <v>170</v>
      </c>
      <c r="E11" s="18" t="n">
        <v>11</v>
      </c>
      <c r="F11" s="18" t="n">
        <v>861</v>
      </c>
      <c r="G11" s="18" t="n">
        <v>861</v>
      </c>
      <c r="H11" s="19" t="n">
        <f aca="false">F11/G11</f>
        <v>1</v>
      </c>
      <c r="I11" s="18" t="n">
        <v>861</v>
      </c>
      <c r="J11" s="19" t="n">
        <f aca="false">IF(ISNUMBER(I11),F11/I11,"")</f>
        <v>1</v>
      </c>
      <c r="K11" s="28" t="n">
        <f aca="false">B11*'County Plans'!$B$6</f>
        <v>40000</v>
      </c>
      <c r="L11" s="28" t="n">
        <f aca="false">B11*'County Plans'!$B$7</f>
        <v>233332</v>
      </c>
      <c r="M11" s="28" t="n">
        <f aca="false">B11*'County Plans'!$B$8</f>
        <v>418575</v>
      </c>
      <c r="N11" s="28" t="n">
        <f aca="false">B11*'County Plans'!$B$9</f>
        <v>2356588</v>
      </c>
    </row>
    <row r="12" customFormat="false" ht="15" hidden="false" customHeight="false" outlineLevel="0" collapsed="false">
      <c r="A12" s="17" t="s">
        <v>171</v>
      </c>
      <c r="B12" s="27" t="n">
        <v>1</v>
      </c>
      <c r="C12" s="27" t="s">
        <v>172</v>
      </c>
      <c r="D12" s="27" t="s">
        <v>173</v>
      </c>
      <c r="E12" s="18" t="n">
        <v>224</v>
      </c>
      <c r="F12" s="18" t="n">
        <v>224</v>
      </c>
      <c r="G12" s="18" t="n">
        <v>477</v>
      </c>
      <c r="H12" s="19" t="n">
        <f aca="false">F12/G12</f>
        <v>0.469601677148847</v>
      </c>
      <c r="I12" s="18" t="n">
        <v>224</v>
      </c>
      <c r="J12" s="19" t="n">
        <f aca="false">IF(ISNUMBER(I12),F12/I12,"")</f>
        <v>1</v>
      </c>
      <c r="K12" s="28" t="n">
        <f aca="false">B12*'County Plans'!$B$6</f>
        <v>10000</v>
      </c>
      <c r="L12" s="28" t="n">
        <f aca="false">B12*'County Plans'!$B$7</f>
        <v>58333</v>
      </c>
      <c r="M12" s="28" t="n">
        <f aca="false">B12*'County Plans'!$B$8</f>
        <v>104643.75</v>
      </c>
      <c r="N12" s="28" t="n">
        <f aca="false">B12*'County Plans'!$B$9</f>
        <v>589147</v>
      </c>
    </row>
    <row r="13" customFormat="false" ht="15" hidden="false" customHeight="false" outlineLevel="0" collapsed="false">
      <c r="A13" s="17" t="s">
        <v>171</v>
      </c>
      <c r="B13" s="27" t="n">
        <v>2</v>
      </c>
      <c r="C13" s="27" t="s">
        <v>174</v>
      </c>
      <c r="D13" s="27" t="s">
        <v>175</v>
      </c>
      <c r="E13" s="18" t="n">
        <v>122</v>
      </c>
      <c r="F13" s="18" t="n">
        <v>346</v>
      </c>
      <c r="G13" s="18" t="n">
        <v>477</v>
      </c>
      <c r="H13" s="19" t="n">
        <f aca="false">F13/G13</f>
        <v>0.725366876310273</v>
      </c>
      <c r="I13" s="18" t="n">
        <v>346</v>
      </c>
      <c r="J13" s="19" t="n">
        <f aca="false">IF(ISNUMBER(I13),F13/I13,"")</f>
        <v>1</v>
      </c>
      <c r="K13" s="28" t="n">
        <f aca="false">B13*'County Plans'!$B$6</f>
        <v>20000</v>
      </c>
      <c r="L13" s="28" t="n">
        <f aca="false">B13*'County Plans'!$B$7</f>
        <v>116666</v>
      </c>
      <c r="M13" s="28" t="n">
        <f aca="false">B13*'County Plans'!$B$8</f>
        <v>209287.5</v>
      </c>
      <c r="N13" s="28" t="n">
        <f aca="false">B13*'County Plans'!$B$9</f>
        <v>1178294</v>
      </c>
    </row>
    <row r="14" customFormat="false" ht="15" hidden="false" customHeight="false" outlineLevel="0" collapsed="false">
      <c r="A14" s="17" t="s">
        <v>171</v>
      </c>
      <c r="B14" s="27" t="n">
        <v>3</v>
      </c>
      <c r="C14" s="27" t="s">
        <v>176</v>
      </c>
      <c r="D14" s="27" t="s">
        <v>177</v>
      </c>
      <c r="E14" s="18" t="n">
        <v>47</v>
      </c>
      <c r="F14" s="18" t="n">
        <v>393</v>
      </c>
      <c r="G14" s="18" t="n">
        <v>477</v>
      </c>
      <c r="H14" s="19" t="n">
        <f aca="false">F14/G14</f>
        <v>0.823899371069182</v>
      </c>
      <c r="I14" s="18" t="n">
        <v>393</v>
      </c>
      <c r="J14" s="19" t="n">
        <f aca="false">IF(ISNUMBER(I14),F14/I14,"")</f>
        <v>1</v>
      </c>
      <c r="K14" s="28" t="n">
        <f aca="false">B14*'County Plans'!$B$6</f>
        <v>30000</v>
      </c>
      <c r="L14" s="28" t="n">
        <f aca="false">B14*'County Plans'!$B$7</f>
        <v>174999</v>
      </c>
      <c r="M14" s="28" t="n">
        <f aca="false">B14*'County Plans'!$B$8</f>
        <v>313931.25</v>
      </c>
      <c r="N14" s="28" t="n">
        <f aca="false">B14*'County Plans'!$B$9</f>
        <v>1767441</v>
      </c>
    </row>
    <row r="15" customFormat="false" ht="15" hidden="false" customHeight="false" outlineLevel="0" collapsed="false">
      <c r="A15" s="17" t="s">
        <v>171</v>
      </c>
      <c r="B15" s="27" t="n">
        <v>4</v>
      </c>
      <c r="C15" s="27" t="s">
        <v>178</v>
      </c>
      <c r="D15" s="27" t="s">
        <v>179</v>
      </c>
      <c r="E15" s="18" t="n">
        <v>27</v>
      </c>
      <c r="F15" s="18" t="n">
        <v>420</v>
      </c>
      <c r="G15" s="18" t="n">
        <v>477</v>
      </c>
      <c r="H15" s="19" t="n">
        <f aca="false">F15/G15</f>
        <v>0.880503144654088</v>
      </c>
      <c r="I15" s="18" t="n">
        <v>437</v>
      </c>
      <c r="J15" s="19" t="n">
        <f aca="false">IF(ISNUMBER(I15),F15/I15,"")</f>
        <v>0.961098398169336</v>
      </c>
      <c r="K15" s="28" t="n">
        <f aca="false">B15*'County Plans'!$B$6</f>
        <v>40000</v>
      </c>
      <c r="L15" s="28" t="n">
        <f aca="false">B15*'County Plans'!$B$7</f>
        <v>233332</v>
      </c>
      <c r="M15" s="28" t="n">
        <f aca="false">B15*'County Plans'!$B$8</f>
        <v>418575</v>
      </c>
      <c r="N15" s="28" t="n">
        <f aca="false">B15*'County Plans'!$B$9</f>
        <v>2356588</v>
      </c>
    </row>
    <row r="16" customFormat="false" ht="15" hidden="false" customHeight="false" outlineLevel="0" collapsed="false">
      <c r="A16" s="17" t="s">
        <v>171</v>
      </c>
      <c r="B16" s="27" t="n">
        <v>5</v>
      </c>
      <c r="C16" s="27" t="s">
        <v>180</v>
      </c>
      <c r="D16" s="27" t="s">
        <v>181</v>
      </c>
      <c r="E16" s="18" t="n">
        <v>18</v>
      </c>
      <c r="F16" s="18" t="n">
        <v>438</v>
      </c>
      <c r="G16" s="18" t="n">
        <v>477</v>
      </c>
      <c r="H16" s="19" t="n">
        <f aca="false">F16/G16</f>
        <v>0.918238993710692</v>
      </c>
      <c r="I16" s="18" t="n">
        <v>455</v>
      </c>
      <c r="J16" s="19" t="n">
        <f aca="false">IF(ISNUMBER(I16),F16/I16,"")</f>
        <v>0.962637362637363</v>
      </c>
      <c r="K16" s="28" t="n">
        <f aca="false">B16*'County Plans'!$B$6</f>
        <v>50000</v>
      </c>
      <c r="L16" s="28" t="n">
        <f aca="false">B16*'County Plans'!$B$7</f>
        <v>291665</v>
      </c>
      <c r="M16" s="28" t="n">
        <f aca="false">B16*'County Plans'!$B$8</f>
        <v>523218.75</v>
      </c>
      <c r="N16" s="28" t="n">
        <f aca="false">B16*'County Plans'!$B$9</f>
        <v>2945735</v>
      </c>
    </row>
    <row r="17" customFormat="false" ht="15" hidden="false" customHeight="false" outlineLevel="0" collapsed="false">
      <c r="A17" s="17" t="s">
        <v>171</v>
      </c>
      <c r="B17" s="27" t="n">
        <v>6</v>
      </c>
      <c r="C17" s="27" t="s">
        <v>182</v>
      </c>
      <c r="D17" s="27" t="s">
        <v>183</v>
      </c>
      <c r="E17" s="18" t="n">
        <v>17</v>
      </c>
      <c r="F17" s="18" t="n">
        <v>455</v>
      </c>
      <c r="G17" s="18" t="n">
        <v>477</v>
      </c>
      <c r="H17" s="19" t="n">
        <f aca="false">F17/G17</f>
        <v>0.953878406708595</v>
      </c>
      <c r="I17" s="18" t="n">
        <v>466</v>
      </c>
      <c r="J17" s="19" t="n">
        <f aca="false">IF(ISNUMBER(I17),F17/I17,"")</f>
        <v>0.976394849785408</v>
      </c>
      <c r="K17" s="28" t="n">
        <f aca="false">B17*'County Plans'!$B$6</f>
        <v>60000</v>
      </c>
      <c r="L17" s="28" t="n">
        <f aca="false">B17*'County Plans'!$B$7</f>
        <v>349998</v>
      </c>
      <c r="M17" s="28" t="n">
        <f aca="false">B17*'County Plans'!$B$8</f>
        <v>627862.5</v>
      </c>
      <c r="N17" s="28" t="n">
        <f aca="false">B17*'County Plans'!$B$9</f>
        <v>3534882</v>
      </c>
    </row>
    <row r="18" customFormat="false" ht="15" hidden="false" customHeight="false" outlineLevel="0" collapsed="false">
      <c r="A18" s="17" t="s">
        <v>171</v>
      </c>
      <c r="B18" s="27" t="n">
        <v>7</v>
      </c>
      <c r="C18" s="27" t="s">
        <v>184</v>
      </c>
      <c r="D18" s="27" t="s">
        <v>185</v>
      </c>
      <c r="E18" s="18" t="n">
        <v>11</v>
      </c>
      <c r="F18" s="18" t="n">
        <v>466</v>
      </c>
      <c r="G18" s="18" t="n">
        <v>477</v>
      </c>
      <c r="H18" s="19" t="n">
        <f aca="false">F18/G18</f>
        <v>0.976939203354298</v>
      </c>
      <c r="I18" s="18" t="s">
        <v>186</v>
      </c>
      <c r="J18" s="19" t="str">
        <f aca="false">IF(ISNUMBER(I18),F18/I18,"")</f>
        <v/>
      </c>
      <c r="K18" s="28" t="n">
        <f aca="false">B18*'County Plans'!$B$6</f>
        <v>70000</v>
      </c>
      <c r="L18" s="28" t="n">
        <f aca="false">B18*'County Plans'!$B$7</f>
        <v>408331</v>
      </c>
      <c r="M18" s="28" t="n">
        <f aca="false">B18*'County Plans'!$B$8</f>
        <v>732506.25</v>
      </c>
      <c r="N18" s="28" t="n">
        <f aca="false">B18*'County Plans'!$B$9</f>
        <v>4124029</v>
      </c>
    </row>
    <row r="19" customFormat="false" ht="15" hidden="false" customHeight="false" outlineLevel="0" collapsed="false">
      <c r="A19" s="17" t="s">
        <v>171</v>
      </c>
      <c r="B19" s="27" t="n">
        <v>8</v>
      </c>
      <c r="C19" s="27" t="s">
        <v>187</v>
      </c>
      <c r="D19" s="27" t="s">
        <v>188</v>
      </c>
      <c r="E19" s="18" t="n">
        <v>11</v>
      </c>
      <c r="F19" s="18" t="n">
        <v>477</v>
      </c>
      <c r="G19" s="18" t="n">
        <v>477</v>
      </c>
      <c r="H19" s="19" t="n">
        <f aca="false">F19/G19</f>
        <v>1</v>
      </c>
      <c r="I19" s="18" t="s">
        <v>186</v>
      </c>
      <c r="J19" s="19" t="str">
        <f aca="false">IF(ISNUMBER(I19),F19/I19,"")</f>
        <v/>
      </c>
      <c r="K19" s="28" t="n">
        <f aca="false">B19*'County Plans'!$B$6</f>
        <v>80000</v>
      </c>
      <c r="L19" s="28" t="n">
        <f aca="false">B19*'County Plans'!$B$7</f>
        <v>466664</v>
      </c>
      <c r="M19" s="28" t="n">
        <f aca="false">B19*'County Plans'!$B$8</f>
        <v>837150</v>
      </c>
      <c r="N19" s="28" t="n">
        <f aca="false">B19*'County Plans'!$B$9</f>
        <v>4713176</v>
      </c>
    </row>
    <row r="20" customFormat="false" ht="15" hidden="false" customHeight="false" outlineLevel="0" collapsed="false">
      <c r="A20" s="17" t="s">
        <v>189</v>
      </c>
      <c r="B20" s="27" t="n">
        <v>1</v>
      </c>
      <c r="C20" s="27" t="s">
        <v>190</v>
      </c>
      <c r="D20" s="27" t="s">
        <v>191</v>
      </c>
      <c r="E20" s="18" t="n">
        <v>93</v>
      </c>
      <c r="F20" s="18" t="n">
        <v>93</v>
      </c>
      <c r="G20" s="18" t="n">
        <v>223</v>
      </c>
      <c r="H20" s="19" t="n">
        <f aca="false">F20/G20</f>
        <v>0.417040358744395</v>
      </c>
      <c r="I20" s="18" t="n">
        <v>93</v>
      </c>
      <c r="J20" s="19" t="n">
        <f aca="false">IF(ISNUMBER(I20),F20/I20,"")</f>
        <v>1</v>
      </c>
      <c r="K20" s="28" t="n">
        <f aca="false">B20*'County Plans'!$B$6</f>
        <v>10000</v>
      </c>
      <c r="L20" s="28" t="n">
        <f aca="false">B20*'County Plans'!$B$7</f>
        <v>58333</v>
      </c>
      <c r="M20" s="28" t="n">
        <f aca="false">B20*'County Plans'!$B$8</f>
        <v>104643.75</v>
      </c>
      <c r="N20" s="28" t="n">
        <f aca="false">B20*'County Plans'!$B$9</f>
        <v>589147</v>
      </c>
    </row>
    <row r="21" customFormat="false" ht="15" hidden="false" customHeight="false" outlineLevel="0" collapsed="false">
      <c r="A21" s="17" t="s">
        <v>189</v>
      </c>
      <c r="B21" s="27" t="n">
        <v>2</v>
      </c>
      <c r="C21" s="27" t="s">
        <v>192</v>
      </c>
      <c r="D21" s="27" t="s">
        <v>193</v>
      </c>
      <c r="E21" s="18" t="n">
        <v>32</v>
      </c>
      <c r="F21" s="18" t="n">
        <v>125</v>
      </c>
      <c r="G21" s="18" t="n">
        <v>223</v>
      </c>
      <c r="H21" s="19" t="n">
        <f aca="false">F21/G21</f>
        <v>0.560538116591928</v>
      </c>
      <c r="I21" s="18" t="n">
        <v>125</v>
      </c>
      <c r="J21" s="19" t="n">
        <f aca="false">IF(ISNUMBER(I21),F21/I21,"")</f>
        <v>1</v>
      </c>
      <c r="K21" s="28" t="n">
        <f aca="false">B21*'County Plans'!$B$6</f>
        <v>20000</v>
      </c>
      <c r="L21" s="28" t="n">
        <f aca="false">B21*'County Plans'!$B$7</f>
        <v>116666</v>
      </c>
      <c r="M21" s="28" t="n">
        <f aca="false">B21*'County Plans'!$B$8</f>
        <v>209287.5</v>
      </c>
      <c r="N21" s="28" t="n">
        <f aca="false">B21*'County Plans'!$B$9</f>
        <v>1178294</v>
      </c>
    </row>
    <row r="22" customFormat="false" ht="15" hidden="false" customHeight="false" outlineLevel="0" collapsed="false">
      <c r="A22" s="17" t="s">
        <v>189</v>
      </c>
      <c r="B22" s="27" t="n">
        <v>3</v>
      </c>
      <c r="C22" s="27" t="s">
        <v>194</v>
      </c>
      <c r="D22" s="27" t="s">
        <v>195</v>
      </c>
      <c r="E22" s="18" t="n">
        <v>20</v>
      </c>
      <c r="F22" s="18" t="n">
        <v>145</v>
      </c>
      <c r="G22" s="18" t="n">
        <v>223</v>
      </c>
      <c r="H22" s="19" t="n">
        <f aca="false">F22/G22</f>
        <v>0.650224215246637</v>
      </c>
      <c r="I22" s="18" t="n">
        <v>145</v>
      </c>
      <c r="J22" s="19" t="n">
        <f aca="false">IF(ISNUMBER(I22),F22/I22,"")</f>
        <v>1</v>
      </c>
      <c r="K22" s="28" t="n">
        <f aca="false">B22*'County Plans'!$B$6</f>
        <v>30000</v>
      </c>
      <c r="L22" s="28" t="n">
        <f aca="false">B22*'County Plans'!$B$7</f>
        <v>174999</v>
      </c>
      <c r="M22" s="28" t="n">
        <f aca="false">B22*'County Plans'!$B$8</f>
        <v>313931.25</v>
      </c>
      <c r="N22" s="28" t="n">
        <f aca="false">B22*'County Plans'!$B$9</f>
        <v>1767441</v>
      </c>
    </row>
    <row r="23" customFormat="false" ht="15" hidden="false" customHeight="false" outlineLevel="0" collapsed="false">
      <c r="A23" s="17" t="s">
        <v>189</v>
      </c>
      <c r="B23" s="27" t="n">
        <v>4</v>
      </c>
      <c r="C23" s="27" t="s">
        <v>196</v>
      </c>
      <c r="D23" s="27" t="s">
        <v>197</v>
      </c>
      <c r="E23" s="18" t="n">
        <v>12</v>
      </c>
      <c r="F23" s="18" t="n">
        <v>157</v>
      </c>
      <c r="G23" s="18" t="n">
        <v>223</v>
      </c>
      <c r="H23" s="19" t="n">
        <f aca="false">F23/G23</f>
        <v>0.704035874439462</v>
      </c>
      <c r="I23" s="18" t="n">
        <v>157</v>
      </c>
      <c r="J23" s="19" t="n">
        <f aca="false">IF(ISNUMBER(I23),F23/I23,"")</f>
        <v>1</v>
      </c>
      <c r="K23" s="28" t="n">
        <f aca="false">B23*'County Plans'!$B$6</f>
        <v>40000</v>
      </c>
      <c r="L23" s="28" t="n">
        <f aca="false">B23*'County Plans'!$B$7</f>
        <v>233332</v>
      </c>
      <c r="M23" s="28" t="n">
        <f aca="false">B23*'County Plans'!$B$8</f>
        <v>418575</v>
      </c>
      <c r="N23" s="28" t="n">
        <f aca="false">B23*'County Plans'!$B$9</f>
        <v>2356588</v>
      </c>
    </row>
    <row r="24" customFormat="false" ht="15" hidden="false" customHeight="false" outlineLevel="0" collapsed="false">
      <c r="A24" s="17" t="s">
        <v>189</v>
      </c>
      <c r="B24" s="27" t="n">
        <v>5</v>
      </c>
      <c r="C24" s="27" t="s">
        <v>198</v>
      </c>
      <c r="D24" s="27" t="s">
        <v>199</v>
      </c>
      <c r="E24" s="18" t="n">
        <v>11</v>
      </c>
      <c r="F24" s="18" t="n">
        <v>168</v>
      </c>
      <c r="G24" s="18" t="n">
        <v>223</v>
      </c>
      <c r="H24" s="19" t="n">
        <f aca="false">F24/G24</f>
        <v>0.753363228699552</v>
      </c>
      <c r="I24" s="18" t="n">
        <v>168</v>
      </c>
      <c r="J24" s="19" t="n">
        <f aca="false">IF(ISNUMBER(I24),F24/I24,"")</f>
        <v>1</v>
      </c>
      <c r="K24" s="28" t="n">
        <f aca="false">B24*'County Plans'!$B$6</f>
        <v>50000</v>
      </c>
      <c r="L24" s="28" t="n">
        <f aca="false">B24*'County Plans'!$B$7</f>
        <v>291665</v>
      </c>
      <c r="M24" s="28" t="n">
        <f aca="false">B24*'County Plans'!$B$8</f>
        <v>523218.75</v>
      </c>
      <c r="N24" s="28" t="n">
        <f aca="false">B24*'County Plans'!$B$9</f>
        <v>2945735</v>
      </c>
    </row>
    <row r="25" customFormat="false" ht="15" hidden="false" customHeight="false" outlineLevel="0" collapsed="false">
      <c r="A25" s="17" t="s">
        <v>189</v>
      </c>
      <c r="B25" s="27" t="n">
        <v>6</v>
      </c>
      <c r="C25" s="27" t="s">
        <v>200</v>
      </c>
      <c r="D25" s="27" t="s">
        <v>201</v>
      </c>
      <c r="E25" s="18" t="n">
        <v>11</v>
      </c>
      <c r="F25" s="18" t="n">
        <v>179</v>
      </c>
      <c r="G25" s="18" t="n">
        <v>223</v>
      </c>
      <c r="H25" s="19" t="n">
        <f aca="false">F25/G25</f>
        <v>0.802690582959641</v>
      </c>
      <c r="I25" s="18" t="n">
        <v>179</v>
      </c>
      <c r="J25" s="19" t="n">
        <f aca="false">IF(ISNUMBER(I25),F25/I25,"")</f>
        <v>1</v>
      </c>
      <c r="K25" s="28" t="n">
        <f aca="false">B25*'County Plans'!$B$6</f>
        <v>60000</v>
      </c>
      <c r="L25" s="28" t="n">
        <f aca="false">B25*'County Plans'!$B$7</f>
        <v>349998</v>
      </c>
      <c r="M25" s="28" t="n">
        <f aca="false">B25*'County Plans'!$B$8</f>
        <v>627862.5</v>
      </c>
      <c r="N25" s="28" t="n">
        <f aca="false">B25*'County Plans'!$B$9</f>
        <v>3534882</v>
      </c>
    </row>
    <row r="26" customFormat="false" ht="15" hidden="false" customHeight="false" outlineLevel="0" collapsed="false">
      <c r="A26" s="17" t="s">
        <v>189</v>
      </c>
      <c r="B26" s="27" t="n">
        <v>7</v>
      </c>
      <c r="C26" s="27" t="s">
        <v>202</v>
      </c>
      <c r="D26" s="27" t="s">
        <v>203</v>
      </c>
      <c r="E26" s="18" t="n">
        <v>11</v>
      </c>
      <c r="F26" s="18" t="n">
        <v>190</v>
      </c>
      <c r="G26" s="18" t="n">
        <v>223</v>
      </c>
      <c r="H26" s="19" t="n">
        <f aca="false">F26/G26</f>
        <v>0.852017937219731</v>
      </c>
      <c r="I26" s="18" t="s">
        <v>186</v>
      </c>
      <c r="J26" s="19" t="str">
        <f aca="false">IF(ISNUMBER(I26),F26/I26,"")</f>
        <v/>
      </c>
      <c r="K26" s="28" t="n">
        <f aca="false">B26*'County Plans'!$B$6</f>
        <v>70000</v>
      </c>
      <c r="L26" s="28" t="n">
        <f aca="false">B26*'County Plans'!$B$7</f>
        <v>408331</v>
      </c>
      <c r="M26" s="28" t="n">
        <f aca="false">B26*'County Plans'!$B$8</f>
        <v>732506.25</v>
      </c>
      <c r="N26" s="28" t="n">
        <f aca="false">B26*'County Plans'!$B$9</f>
        <v>4124029</v>
      </c>
    </row>
    <row r="27" customFormat="false" ht="15" hidden="false" customHeight="false" outlineLevel="0" collapsed="false">
      <c r="A27" s="17" t="s">
        <v>189</v>
      </c>
      <c r="B27" s="27" t="n">
        <v>8</v>
      </c>
      <c r="C27" s="27" t="s">
        <v>204</v>
      </c>
      <c r="D27" s="27" t="s">
        <v>205</v>
      </c>
      <c r="E27" s="18" t="n">
        <v>11</v>
      </c>
      <c r="F27" s="18" t="n">
        <v>201</v>
      </c>
      <c r="G27" s="18" t="n">
        <v>223</v>
      </c>
      <c r="H27" s="19" t="n">
        <f aca="false">F27/G27</f>
        <v>0.901345291479821</v>
      </c>
      <c r="I27" s="18" t="s">
        <v>186</v>
      </c>
      <c r="J27" s="19" t="str">
        <f aca="false">IF(ISNUMBER(I27),F27/I27,"")</f>
        <v/>
      </c>
      <c r="K27" s="28" t="n">
        <f aca="false">B27*'County Plans'!$B$6</f>
        <v>80000</v>
      </c>
      <c r="L27" s="28" t="n">
        <f aca="false">B27*'County Plans'!$B$7</f>
        <v>466664</v>
      </c>
      <c r="M27" s="28" t="n">
        <f aca="false">B27*'County Plans'!$B$8</f>
        <v>837150</v>
      </c>
      <c r="N27" s="28" t="n">
        <f aca="false">B27*'County Plans'!$B$9</f>
        <v>4713176</v>
      </c>
    </row>
    <row r="28" customFormat="false" ht="15" hidden="false" customHeight="false" outlineLevel="0" collapsed="false">
      <c r="A28" s="17" t="s">
        <v>189</v>
      </c>
      <c r="B28" s="27" t="n">
        <v>9</v>
      </c>
      <c r="C28" s="27" t="s">
        <v>206</v>
      </c>
      <c r="D28" s="27" t="s">
        <v>207</v>
      </c>
      <c r="E28" s="18" t="n">
        <v>11</v>
      </c>
      <c r="F28" s="18" t="n">
        <v>212</v>
      </c>
      <c r="G28" s="18" t="n">
        <v>223</v>
      </c>
      <c r="H28" s="19" t="n">
        <f aca="false">F28/G28</f>
        <v>0.95067264573991</v>
      </c>
      <c r="I28" s="18" t="s">
        <v>186</v>
      </c>
      <c r="J28" s="19" t="str">
        <f aca="false">IF(ISNUMBER(I28),F28/I28,"")</f>
        <v/>
      </c>
      <c r="K28" s="28" t="n">
        <f aca="false">B28*'County Plans'!$B$6</f>
        <v>90000</v>
      </c>
      <c r="L28" s="28" t="n">
        <f aca="false">B28*'County Plans'!$B$7</f>
        <v>524997</v>
      </c>
      <c r="M28" s="28" t="n">
        <f aca="false">B28*'County Plans'!$B$8</f>
        <v>941793.75</v>
      </c>
      <c r="N28" s="28" t="n">
        <f aca="false">B28*'County Plans'!$B$9</f>
        <v>5302323</v>
      </c>
    </row>
    <row r="29" customFormat="false" ht="15" hidden="false" customHeight="false" outlineLevel="0" collapsed="false">
      <c r="A29" s="17" t="s">
        <v>189</v>
      </c>
      <c r="B29" s="27" t="n">
        <v>10</v>
      </c>
      <c r="C29" s="27" t="s">
        <v>208</v>
      </c>
      <c r="D29" s="27" t="s">
        <v>209</v>
      </c>
      <c r="E29" s="18" t="n">
        <v>11</v>
      </c>
      <c r="F29" s="18" t="n">
        <v>223</v>
      </c>
      <c r="G29" s="18" t="n">
        <v>223</v>
      </c>
      <c r="H29" s="19" t="n">
        <f aca="false">F29/G29</f>
        <v>1</v>
      </c>
      <c r="I29" s="18" t="s">
        <v>186</v>
      </c>
      <c r="J29" s="19" t="str">
        <f aca="false">IF(ISNUMBER(I29),F29/I29,"")</f>
        <v/>
      </c>
      <c r="K29" s="28" t="n">
        <f aca="false">B29*'County Plans'!$B$6</f>
        <v>100000</v>
      </c>
      <c r="L29" s="28" t="n">
        <f aca="false">B29*'County Plans'!$B$7</f>
        <v>583330</v>
      </c>
      <c r="M29" s="28" t="n">
        <f aca="false">B29*'County Plans'!$B$8</f>
        <v>1046437.5</v>
      </c>
      <c r="N29" s="28" t="n">
        <f aca="false">B29*'County Plans'!$B$9</f>
        <v>5891470</v>
      </c>
    </row>
    <row r="30" customFormat="false" ht="15" hidden="false" customHeight="false" outlineLevel="0" collapsed="false">
      <c r="A30" s="17" t="s">
        <v>210</v>
      </c>
      <c r="B30" s="27" t="n">
        <v>1</v>
      </c>
      <c r="C30" s="27" t="s">
        <v>211</v>
      </c>
      <c r="D30" s="27" t="s">
        <v>212</v>
      </c>
      <c r="E30" s="18" t="n">
        <v>250</v>
      </c>
      <c r="F30" s="18" t="n">
        <v>250</v>
      </c>
      <c r="G30" s="18" t="n">
        <v>359</v>
      </c>
      <c r="H30" s="19" t="n">
        <f aca="false">F30/G30</f>
        <v>0.696378830083566</v>
      </c>
      <c r="I30" s="18" t="n">
        <v>250</v>
      </c>
      <c r="J30" s="19" t="n">
        <f aca="false">IF(ISNUMBER(I30),F30/I30,"")</f>
        <v>1</v>
      </c>
      <c r="K30" s="28" t="n">
        <f aca="false">B30*'County Plans'!$B$6</f>
        <v>10000</v>
      </c>
      <c r="L30" s="28" t="n">
        <f aca="false">B30*'County Plans'!$B$7</f>
        <v>58333</v>
      </c>
      <c r="M30" s="28" t="n">
        <f aca="false">B30*'County Plans'!$B$8</f>
        <v>104643.75</v>
      </c>
      <c r="N30" s="28" t="n">
        <f aca="false">B30*'County Plans'!$B$9</f>
        <v>589147</v>
      </c>
    </row>
    <row r="31" customFormat="false" ht="15" hidden="false" customHeight="false" outlineLevel="0" collapsed="false">
      <c r="A31" s="17" t="s">
        <v>210</v>
      </c>
      <c r="B31" s="27" t="n">
        <v>2</v>
      </c>
      <c r="C31" s="27" t="s">
        <v>213</v>
      </c>
      <c r="D31" s="27" t="s">
        <v>214</v>
      </c>
      <c r="E31" s="18" t="n">
        <v>53</v>
      </c>
      <c r="F31" s="18" t="n">
        <v>303</v>
      </c>
      <c r="G31" s="18" t="n">
        <v>359</v>
      </c>
      <c r="H31" s="19" t="n">
        <f aca="false">F31/G31</f>
        <v>0.844011142061281</v>
      </c>
      <c r="I31" s="18" t="n">
        <v>303</v>
      </c>
      <c r="J31" s="19" t="n">
        <f aca="false">IF(ISNUMBER(I31),F31/I31,"")</f>
        <v>1</v>
      </c>
      <c r="K31" s="28" t="n">
        <f aca="false">B31*'County Plans'!$B$6</f>
        <v>20000</v>
      </c>
      <c r="L31" s="28" t="n">
        <f aca="false">B31*'County Plans'!$B$7</f>
        <v>116666</v>
      </c>
      <c r="M31" s="28" t="n">
        <f aca="false">B31*'County Plans'!$B$8</f>
        <v>209287.5</v>
      </c>
      <c r="N31" s="28" t="n">
        <f aca="false">B31*'County Plans'!$B$9</f>
        <v>1178294</v>
      </c>
    </row>
    <row r="32" customFormat="false" ht="15" hidden="false" customHeight="false" outlineLevel="0" collapsed="false">
      <c r="A32" s="17" t="s">
        <v>210</v>
      </c>
      <c r="B32" s="27" t="n">
        <v>3</v>
      </c>
      <c r="C32" s="27" t="s">
        <v>215</v>
      </c>
      <c r="D32" s="27" t="s">
        <v>216</v>
      </c>
      <c r="E32" s="18" t="n">
        <v>42</v>
      </c>
      <c r="F32" s="18" t="n">
        <v>345</v>
      </c>
      <c r="G32" s="18" t="n">
        <v>359</v>
      </c>
      <c r="H32" s="19" t="n">
        <f aca="false">F32/G32</f>
        <v>0.96100278551532</v>
      </c>
      <c r="I32" s="18" t="n">
        <v>345</v>
      </c>
      <c r="J32" s="19" t="n">
        <f aca="false">IF(ISNUMBER(I32),F32/I32,"")</f>
        <v>1</v>
      </c>
      <c r="K32" s="28" t="n">
        <f aca="false">B32*'County Plans'!$B$6</f>
        <v>30000</v>
      </c>
      <c r="L32" s="28" t="n">
        <f aca="false">B32*'County Plans'!$B$7</f>
        <v>174999</v>
      </c>
      <c r="M32" s="28" t="n">
        <f aca="false">B32*'County Plans'!$B$8</f>
        <v>313931.25</v>
      </c>
      <c r="N32" s="28" t="n">
        <f aca="false">B32*'County Plans'!$B$9</f>
        <v>1767441</v>
      </c>
    </row>
    <row r="33" customFormat="false" ht="15" hidden="false" customHeight="false" outlineLevel="0" collapsed="false">
      <c r="A33" s="17" t="s">
        <v>210</v>
      </c>
      <c r="B33" s="27" t="n">
        <v>4</v>
      </c>
      <c r="C33" s="27" t="s">
        <v>217</v>
      </c>
      <c r="D33" s="27" t="s">
        <v>218</v>
      </c>
      <c r="E33" s="18" t="n">
        <v>14</v>
      </c>
      <c r="F33" s="18" t="n">
        <v>359</v>
      </c>
      <c r="G33" s="18" t="n">
        <v>359</v>
      </c>
      <c r="H33" s="19" t="n">
        <f aca="false">F33/G33</f>
        <v>1</v>
      </c>
      <c r="I33" s="18" t="n">
        <v>359</v>
      </c>
      <c r="J33" s="19" t="n">
        <f aca="false">IF(ISNUMBER(I33),F33/I33,"")</f>
        <v>1</v>
      </c>
      <c r="K33" s="28" t="n">
        <f aca="false">B33*'County Plans'!$B$6</f>
        <v>40000</v>
      </c>
      <c r="L33" s="28" t="n">
        <f aca="false">B33*'County Plans'!$B$7</f>
        <v>233332</v>
      </c>
      <c r="M33" s="28" t="n">
        <f aca="false">B33*'County Plans'!$B$8</f>
        <v>418575</v>
      </c>
      <c r="N33" s="28" t="n">
        <f aca="false">B33*'County Plans'!$B$9</f>
        <v>2356588</v>
      </c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customFormat="false" ht="15" hidden="false" customHeight="false" outlineLevel="0" collapsed="false">
      <c r="A35" s="8" t="s">
        <v>219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customFormat="false" ht="15" hidden="false" customHeight="false" outlineLevel="0" collapsed="false">
      <c r="A36" s="8" t="s">
        <v>220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customFormat="false" ht="15" hidden="false" customHeight="false" outlineLevel="0" collapsed="false">
      <c r="A37" s="8" t="s">
        <v>221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9" min="6" style="0" width="11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4" min="12" style="0" width="14"/>
    <col collapsed="false" customWidth="true" hidden="false" outlineLevel="0" max="15" min="15" style="0" width="15"/>
  </cols>
  <sheetData>
    <row r="1" customFormat="false" ht="17.35" hidden="false" customHeight="false" outlineLevel="0" collapsed="false">
      <c r="A1" s="1" t="s">
        <v>222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223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48" hidden="false" customHeight="true" outlineLevel="0" collapsed="false">
      <c r="A4" s="5" t="s">
        <v>52</v>
      </c>
      <c r="B4" s="5" t="s">
        <v>224</v>
      </c>
      <c r="C4" s="5" t="s">
        <v>148</v>
      </c>
      <c r="D4" s="5" t="s">
        <v>225</v>
      </c>
      <c r="E4" s="5" t="s">
        <v>57</v>
      </c>
      <c r="F4" s="5" t="s">
        <v>226</v>
      </c>
      <c r="G4" s="5" t="s">
        <v>60</v>
      </c>
      <c r="H4" s="5" t="s">
        <v>61</v>
      </c>
      <c r="I4" s="5" t="s">
        <v>62</v>
      </c>
      <c r="J4" s="5" t="s">
        <v>227</v>
      </c>
      <c r="K4" s="5" t="s">
        <v>66</v>
      </c>
      <c r="L4" s="5" t="s">
        <v>67</v>
      </c>
      <c r="M4" s="5" t="s">
        <v>68</v>
      </c>
      <c r="N4" s="5" t="s">
        <v>69</v>
      </c>
      <c r="O4" s="5" t="s">
        <v>70</v>
      </c>
    </row>
    <row r="5" customFormat="false" ht="15" hidden="false" customHeight="false" outlineLevel="0" collapsed="false">
      <c r="A5" s="17" t="s">
        <v>228</v>
      </c>
      <c r="B5" s="27" t="n">
        <v>1</v>
      </c>
      <c r="C5" s="27" t="s">
        <v>229</v>
      </c>
      <c r="D5" s="27" t="s">
        <v>230</v>
      </c>
      <c r="E5" s="18" t="n">
        <v>824</v>
      </c>
      <c r="F5" s="29" t="n">
        <f aca="false">E5/'County Plans'!$G$26</f>
        <v>0.0122416841229517</v>
      </c>
      <c r="G5" s="20" t="n">
        <f aca="false">E5*'County Plans'!$B$15</f>
        <v>206</v>
      </c>
      <c r="H5" s="30" t="n">
        <f aca="false">G5*'County Plans'!$B$16/1000</f>
        <v>56.65</v>
      </c>
      <c r="I5" s="30" t="n">
        <f aca="false">G5*'County Plans'!$B$17/1000</f>
        <v>113.3</v>
      </c>
      <c r="J5" s="20" t="n">
        <f aca="false">ROUNDUP(H5/'County Plans'!$B$21,0)</f>
        <v>1</v>
      </c>
      <c r="K5" s="20" t="n">
        <f aca="false">ROUNDUP(I5/'County Plans'!$B$21,0)</f>
        <v>2</v>
      </c>
      <c r="L5" s="28" t="n">
        <f aca="false">J5*'County Plans'!$B$6</f>
        <v>10000</v>
      </c>
      <c r="M5" s="28" t="n">
        <f aca="false">J5*'County Plans'!$B$7</f>
        <v>58333</v>
      </c>
      <c r="N5" s="28" t="n">
        <f aca="false">J5*'County Plans'!$B$8</f>
        <v>104643.75</v>
      </c>
      <c r="O5" s="28" t="n">
        <f aca="false">J5*'County Plans'!$B$9</f>
        <v>589147</v>
      </c>
    </row>
    <row r="6" customFormat="false" ht="15" hidden="false" customHeight="false" outlineLevel="0" collapsed="false">
      <c r="A6" s="17" t="s">
        <v>228</v>
      </c>
      <c r="B6" s="27" t="n">
        <v>2</v>
      </c>
      <c r="C6" s="27" t="s">
        <v>231</v>
      </c>
      <c r="D6" s="27" t="s">
        <v>230</v>
      </c>
      <c r="E6" s="18" t="n">
        <v>771</v>
      </c>
      <c r="F6" s="29" t="n">
        <f aca="false">E6/'County Plans'!$G$26</f>
        <v>0.0114542942461113</v>
      </c>
      <c r="G6" s="20" t="n">
        <f aca="false">E6*'County Plans'!$B$15</f>
        <v>192.75</v>
      </c>
      <c r="H6" s="30" t="n">
        <f aca="false">G6*'County Plans'!$B$16/1000</f>
        <v>53.00625</v>
      </c>
      <c r="I6" s="30" t="n">
        <f aca="false">G6*'County Plans'!$B$17/1000</f>
        <v>106.0125</v>
      </c>
      <c r="J6" s="20" t="n">
        <f aca="false">ROUNDUP(H6/'County Plans'!$B$21,0)</f>
        <v>1</v>
      </c>
      <c r="K6" s="20" t="n">
        <f aca="false">ROUNDUP(I6/'County Plans'!$B$21,0)</f>
        <v>2</v>
      </c>
      <c r="L6" s="28" t="n">
        <f aca="false">J6*'County Plans'!$B$6</f>
        <v>10000</v>
      </c>
      <c r="M6" s="28" t="n">
        <f aca="false">J6*'County Plans'!$B$7</f>
        <v>58333</v>
      </c>
      <c r="N6" s="28" t="n">
        <f aca="false">J6*'County Plans'!$B$8</f>
        <v>104643.75</v>
      </c>
      <c r="O6" s="28" t="n">
        <f aca="false">J6*'County Plans'!$B$9</f>
        <v>589147</v>
      </c>
    </row>
    <row r="7" customFormat="false" ht="15" hidden="false" customHeight="false" outlineLevel="0" collapsed="false">
      <c r="A7" s="17" t="s">
        <v>228</v>
      </c>
      <c r="B7" s="27" t="n">
        <v>3</v>
      </c>
      <c r="C7" s="27" t="s">
        <v>232</v>
      </c>
      <c r="D7" s="27" t="s">
        <v>233</v>
      </c>
      <c r="E7" s="18" t="n">
        <v>723</v>
      </c>
      <c r="F7" s="29" t="n">
        <f aca="false">E7/'County Plans'!$G$26</f>
        <v>0.0107411864331239</v>
      </c>
      <c r="G7" s="20" t="n">
        <f aca="false">E7*'County Plans'!$B$15</f>
        <v>180.75</v>
      </c>
      <c r="H7" s="30" t="n">
        <f aca="false">G7*'County Plans'!$B$16/1000</f>
        <v>49.70625</v>
      </c>
      <c r="I7" s="30" t="n">
        <f aca="false">G7*'County Plans'!$B$17/1000</f>
        <v>99.4125</v>
      </c>
      <c r="J7" s="20" t="n">
        <f aca="false">ROUNDUP(H7/'County Plans'!$B$21,0)</f>
        <v>1</v>
      </c>
      <c r="K7" s="20" t="n">
        <f aca="false">ROUNDUP(I7/'County Plans'!$B$21,0)</f>
        <v>1</v>
      </c>
      <c r="L7" s="28" t="n">
        <f aca="false">J7*'County Plans'!$B$6</f>
        <v>10000</v>
      </c>
      <c r="M7" s="28" t="n">
        <f aca="false">J7*'County Plans'!$B$7</f>
        <v>58333</v>
      </c>
      <c r="N7" s="28" t="n">
        <f aca="false">J7*'County Plans'!$B$8</f>
        <v>104643.75</v>
      </c>
      <c r="O7" s="28" t="n">
        <f aca="false">J7*'County Plans'!$B$9</f>
        <v>589147</v>
      </c>
    </row>
    <row r="8" customFormat="false" ht="15" hidden="false" customHeight="false" outlineLevel="0" collapsed="false">
      <c r="A8" s="17" t="s">
        <v>228</v>
      </c>
      <c r="B8" s="27" t="n">
        <v>4</v>
      </c>
      <c r="C8" s="27" t="s">
        <v>234</v>
      </c>
      <c r="D8" s="27" t="s">
        <v>235</v>
      </c>
      <c r="E8" s="18" t="n">
        <v>700</v>
      </c>
      <c r="F8" s="29" t="n">
        <f aca="false">E8/'County Plans'!$G$26</f>
        <v>0.0103994889394007</v>
      </c>
      <c r="G8" s="20" t="n">
        <f aca="false">E8*'County Plans'!$B$15</f>
        <v>175</v>
      </c>
      <c r="H8" s="30" t="n">
        <f aca="false">G8*'County Plans'!$B$16/1000</f>
        <v>48.125</v>
      </c>
      <c r="I8" s="30" t="n">
        <f aca="false">G8*'County Plans'!$B$17/1000</f>
        <v>96.25</v>
      </c>
      <c r="J8" s="20" t="n">
        <f aca="false">ROUNDUP(H8/'County Plans'!$B$21,0)</f>
        <v>1</v>
      </c>
      <c r="K8" s="20" t="n">
        <f aca="false">ROUNDUP(I8/'County Plans'!$B$21,0)</f>
        <v>1</v>
      </c>
      <c r="L8" s="28" t="n">
        <f aca="false">J8*'County Plans'!$B$6</f>
        <v>10000</v>
      </c>
      <c r="M8" s="28" t="n">
        <f aca="false">J8*'County Plans'!$B$7</f>
        <v>58333</v>
      </c>
      <c r="N8" s="28" t="n">
        <f aca="false">J8*'County Plans'!$B$8</f>
        <v>104643.75</v>
      </c>
      <c r="O8" s="28" t="n">
        <f aca="false">J8*'County Plans'!$B$9</f>
        <v>589147</v>
      </c>
    </row>
    <row r="9" customFormat="false" ht="15" hidden="false" customHeight="false" outlineLevel="0" collapsed="false">
      <c r="A9" s="17" t="s">
        <v>228</v>
      </c>
      <c r="B9" s="27" t="n">
        <v>5</v>
      </c>
      <c r="C9" s="27" t="s">
        <v>236</v>
      </c>
      <c r="D9" s="27" t="s">
        <v>237</v>
      </c>
      <c r="E9" s="18" t="n">
        <v>697</v>
      </c>
      <c r="F9" s="29" t="n">
        <f aca="false">E9/'County Plans'!$G$26</f>
        <v>0.010354919701089</v>
      </c>
      <c r="G9" s="20" t="n">
        <f aca="false">E9*'County Plans'!$B$15</f>
        <v>174.25</v>
      </c>
      <c r="H9" s="30" t="n">
        <f aca="false">G9*'County Plans'!$B$16/1000</f>
        <v>47.91875</v>
      </c>
      <c r="I9" s="30" t="n">
        <f aca="false">G9*'County Plans'!$B$17/1000</f>
        <v>95.8375</v>
      </c>
      <c r="J9" s="20" t="n">
        <f aca="false">ROUNDUP(H9/'County Plans'!$B$21,0)</f>
        <v>1</v>
      </c>
      <c r="K9" s="20" t="n">
        <f aca="false">ROUNDUP(I9/'County Plans'!$B$21,0)</f>
        <v>1</v>
      </c>
      <c r="L9" s="28" t="n">
        <f aca="false">J9*'County Plans'!$B$6</f>
        <v>10000</v>
      </c>
      <c r="M9" s="28" t="n">
        <f aca="false">J9*'County Plans'!$B$7</f>
        <v>58333</v>
      </c>
      <c r="N9" s="28" t="n">
        <f aca="false">J9*'County Plans'!$B$8</f>
        <v>104643.75</v>
      </c>
      <c r="O9" s="28" t="n">
        <f aca="false">J9*'County Plans'!$B$9</f>
        <v>589147</v>
      </c>
    </row>
    <row r="10" customFormat="false" ht="15" hidden="false" customHeight="false" outlineLevel="0" collapsed="false">
      <c r="A10" s="17" t="s">
        <v>228</v>
      </c>
      <c r="B10" s="27" t="n">
        <v>6</v>
      </c>
      <c r="C10" s="27" t="s">
        <v>238</v>
      </c>
      <c r="D10" s="27" t="s">
        <v>230</v>
      </c>
      <c r="E10" s="18" t="n">
        <v>678</v>
      </c>
      <c r="F10" s="29" t="n">
        <f aca="false">E10/'County Plans'!$G$26</f>
        <v>0.0100726478584481</v>
      </c>
      <c r="G10" s="20" t="n">
        <f aca="false">E10*'County Plans'!$B$15</f>
        <v>169.5</v>
      </c>
      <c r="H10" s="30" t="n">
        <f aca="false">G10*'County Plans'!$B$16/1000</f>
        <v>46.6125</v>
      </c>
      <c r="I10" s="30" t="n">
        <f aca="false">G10*'County Plans'!$B$17/1000</f>
        <v>93.225</v>
      </c>
      <c r="J10" s="20" t="n">
        <f aca="false">ROUNDUP(H10/'County Plans'!$B$21,0)</f>
        <v>1</v>
      </c>
      <c r="K10" s="20" t="n">
        <f aca="false">ROUNDUP(I10/'County Plans'!$B$21,0)</f>
        <v>1</v>
      </c>
      <c r="L10" s="28" t="n">
        <f aca="false">J10*'County Plans'!$B$6</f>
        <v>10000</v>
      </c>
      <c r="M10" s="28" t="n">
        <f aca="false">J10*'County Plans'!$B$7</f>
        <v>58333</v>
      </c>
      <c r="N10" s="28" t="n">
        <f aca="false">J10*'County Plans'!$B$8</f>
        <v>104643.75</v>
      </c>
      <c r="O10" s="28" t="n">
        <f aca="false">J10*'County Plans'!$B$9</f>
        <v>589147</v>
      </c>
    </row>
    <row r="11" customFormat="false" ht="15" hidden="false" customHeight="false" outlineLevel="0" collapsed="false">
      <c r="A11" s="17" t="s">
        <v>228</v>
      </c>
      <c r="B11" s="27" t="n">
        <v>7</v>
      </c>
      <c r="C11" s="27" t="s">
        <v>239</v>
      </c>
      <c r="D11" s="27" t="s">
        <v>240</v>
      </c>
      <c r="E11" s="18" t="n">
        <v>658</v>
      </c>
      <c r="F11" s="29" t="n">
        <f aca="false">E11/'County Plans'!$G$26</f>
        <v>0.00977551960303665</v>
      </c>
      <c r="G11" s="20" t="n">
        <f aca="false">E11*'County Plans'!$B$15</f>
        <v>164.5</v>
      </c>
      <c r="H11" s="30" t="n">
        <f aca="false">G11*'County Plans'!$B$16/1000</f>
        <v>45.2375</v>
      </c>
      <c r="I11" s="30" t="n">
        <f aca="false">G11*'County Plans'!$B$17/1000</f>
        <v>90.475</v>
      </c>
      <c r="J11" s="20" t="n">
        <f aca="false">ROUNDUP(H11/'County Plans'!$B$21,0)</f>
        <v>1</v>
      </c>
      <c r="K11" s="20" t="n">
        <f aca="false">ROUNDUP(I11/'County Plans'!$B$21,0)</f>
        <v>1</v>
      </c>
      <c r="L11" s="28" t="n">
        <f aca="false">J11*'County Plans'!$B$6</f>
        <v>10000</v>
      </c>
      <c r="M11" s="28" t="n">
        <f aca="false">J11*'County Plans'!$B$7</f>
        <v>58333</v>
      </c>
      <c r="N11" s="28" t="n">
        <f aca="false">J11*'County Plans'!$B$8</f>
        <v>104643.75</v>
      </c>
      <c r="O11" s="28" t="n">
        <f aca="false">J11*'County Plans'!$B$9</f>
        <v>589147</v>
      </c>
    </row>
    <row r="12" customFormat="false" ht="15" hidden="false" customHeight="false" outlineLevel="0" collapsed="false">
      <c r="A12" s="17" t="s">
        <v>228</v>
      </c>
      <c r="B12" s="27" t="n">
        <v>8</v>
      </c>
      <c r="C12" s="27" t="s">
        <v>241</v>
      </c>
      <c r="D12" s="27" t="s">
        <v>242</v>
      </c>
      <c r="E12" s="18" t="n">
        <v>633</v>
      </c>
      <c r="F12" s="29" t="n">
        <f aca="false">E12/'County Plans'!$G$26</f>
        <v>0.00940410928377234</v>
      </c>
      <c r="G12" s="20" t="n">
        <f aca="false">E12*'County Plans'!$B$15</f>
        <v>158.25</v>
      </c>
      <c r="H12" s="30" t="n">
        <f aca="false">G12*'County Plans'!$B$16/1000</f>
        <v>43.51875</v>
      </c>
      <c r="I12" s="30" t="n">
        <f aca="false">G12*'County Plans'!$B$17/1000</f>
        <v>87.0375</v>
      </c>
      <c r="J12" s="20" t="n">
        <f aca="false">ROUNDUP(H12/'County Plans'!$B$21,0)</f>
        <v>1</v>
      </c>
      <c r="K12" s="20" t="n">
        <f aca="false">ROUNDUP(I12/'County Plans'!$B$21,0)</f>
        <v>1</v>
      </c>
      <c r="L12" s="28" t="n">
        <f aca="false">J12*'County Plans'!$B$6</f>
        <v>10000</v>
      </c>
      <c r="M12" s="28" t="n">
        <f aca="false">J12*'County Plans'!$B$7</f>
        <v>58333</v>
      </c>
      <c r="N12" s="28" t="n">
        <f aca="false">J12*'County Plans'!$B$8</f>
        <v>104643.75</v>
      </c>
      <c r="O12" s="28" t="n">
        <f aca="false">J12*'County Plans'!$B$9</f>
        <v>589147</v>
      </c>
    </row>
    <row r="13" customFormat="false" ht="15" hidden="false" customHeight="false" outlineLevel="0" collapsed="false">
      <c r="A13" s="17" t="s">
        <v>228</v>
      </c>
      <c r="B13" s="27" t="n">
        <v>9</v>
      </c>
      <c r="C13" s="27" t="s">
        <v>243</v>
      </c>
      <c r="D13" s="27" t="s">
        <v>244</v>
      </c>
      <c r="E13" s="18" t="n">
        <v>620</v>
      </c>
      <c r="F13" s="29" t="n">
        <f aca="false">E13/'County Plans'!$G$26</f>
        <v>0.0092109759177549</v>
      </c>
      <c r="G13" s="20" t="n">
        <f aca="false">E13*'County Plans'!$B$15</f>
        <v>155</v>
      </c>
      <c r="H13" s="30" t="n">
        <f aca="false">G13*'County Plans'!$B$16/1000</f>
        <v>42.625</v>
      </c>
      <c r="I13" s="30" t="n">
        <f aca="false">G13*'County Plans'!$B$17/1000</f>
        <v>85.25</v>
      </c>
      <c r="J13" s="20" t="n">
        <f aca="false">ROUNDUP(H13/'County Plans'!$B$21,0)</f>
        <v>1</v>
      </c>
      <c r="K13" s="20" t="n">
        <f aca="false">ROUNDUP(I13/'County Plans'!$B$21,0)</f>
        <v>1</v>
      </c>
      <c r="L13" s="28" t="n">
        <f aca="false">J13*'County Plans'!$B$6</f>
        <v>10000</v>
      </c>
      <c r="M13" s="28" t="n">
        <f aca="false">J13*'County Plans'!$B$7</f>
        <v>58333</v>
      </c>
      <c r="N13" s="28" t="n">
        <f aca="false">J13*'County Plans'!$B$8</f>
        <v>104643.75</v>
      </c>
      <c r="O13" s="28" t="n">
        <f aca="false">J13*'County Plans'!$B$9</f>
        <v>589147</v>
      </c>
    </row>
    <row r="14" customFormat="false" ht="15" hidden="false" customHeight="false" outlineLevel="0" collapsed="false">
      <c r="A14" s="17" t="s">
        <v>228</v>
      </c>
      <c r="B14" s="27" t="n">
        <v>10</v>
      </c>
      <c r="C14" s="27" t="s">
        <v>245</v>
      </c>
      <c r="D14" s="27" t="s">
        <v>246</v>
      </c>
      <c r="E14" s="18" t="n">
        <v>581</v>
      </c>
      <c r="F14" s="29" t="n">
        <f aca="false">E14/'County Plans'!$G$26</f>
        <v>0.00863157581970257</v>
      </c>
      <c r="G14" s="20" t="n">
        <f aca="false">E14*'County Plans'!$B$15</f>
        <v>145.25</v>
      </c>
      <c r="H14" s="30" t="n">
        <f aca="false">G14*'County Plans'!$B$16/1000</f>
        <v>39.94375</v>
      </c>
      <c r="I14" s="30" t="n">
        <f aca="false">G14*'County Plans'!$B$17/1000</f>
        <v>79.8875</v>
      </c>
      <c r="J14" s="20" t="n">
        <f aca="false">ROUNDUP(H14/'County Plans'!$B$21,0)</f>
        <v>1</v>
      </c>
      <c r="K14" s="20" t="n">
        <f aca="false">ROUNDUP(I14/'County Plans'!$B$21,0)</f>
        <v>1</v>
      </c>
      <c r="L14" s="28" t="n">
        <f aca="false">J14*'County Plans'!$B$6</f>
        <v>10000</v>
      </c>
      <c r="M14" s="28" t="n">
        <f aca="false">J14*'County Plans'!$B$7</f>
        <v>58333</v>
      </c>
      <c r="N14" s="28" t="n">
        <f aca="false">J14*'County Plans'!$B$8</f>
        <v>104643.75</v>
      </c>
      <c r="O14" s="28" t="n">
        <f aca="false">J14*'County Plans'!$B$9</f>
        <v>589147</v>
      </c>
    </row>
    <row r="15" customFormat="false" ht="15" hidden="false" customHeight="false" outlineLevel="0" collapsed="false">
      <c r="A15" s="31" t="s">
        <v>247</v>
      </c>
      <c r="B15" s="32"/>
      <c r="C15" s="32"/>
      <c r="D15" s="32"/>
      <c r="E15" s="33" t="n">
        <f aca="false">SUM(E5:E14)</f>
        <v>6885</v>
      </c>
      <c r="F15" s="34" t="n">
        <f aca="false">SUM(F5:F14)</f>
        <v>0.102286401925391</v>
      </c>
      <c r="G15" s="33" t="n">
        <f aca="false">SUM(G5:G14)</f>
        <v>1721.25</v>
      </c>
      <c r="H15" s="35" t="n">
        <f aca="false">SUM(H5:H14)</f>
        <v>473.34375</v>
      </c>
      <c r="I15" s="35" t="n">
        <f aca="false">SUM(I5:I14)</f>
        <v>946.6875</v>
      </c>
      <c r="J15" s="33" t="n">
        <f aca="false">SUM(J5:J14)</f>
        <v>10</v>
      </c>
      <c r="K15" s="33" t="n">
        <f aca="false">SUM(K5:K14)</f>
        <v>12</v>
      </c>
      <c r="L15" s="36" t="n">
        <f aca="false">SUM(L5:L14)</f>
        <v>100000</v>
      </c>
      <c r="M15" s="36" t="n">
        <f aca="false">SUM(M5:M14)</f>
        <v>583330</v>
      </c>
      <c r="N15" s="36" t="n">
        <f aca="false">SUM(N5:N14)</f>
        <v>1046437.5</v>
      </c>
      <c r="O15" s="36" t="n">
        <f aca="false">SUM(O5:O14)</f>
        <v>5891470</v>
      </c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customFormat="false" ht="15" hidden="false" customHeight="false" outlineLevel="0" collapsed="false">
      <c r="A17" s="17" t="s">
        <v>248</v>
      </c>
      <c r="B17" s="27" t="n">
        <v>1</v>
      </c>
      <c r="C17" s="27" t="s">
        <v>249</v>
      </c>
      <c r="D17" s="27" t="s">
        <v>250</v>
      </c>
      <c r="E17" s="18" t="n">
        <v>755</v>
      </c>
      <c r="F17" s="29" t="n">
        <f aca="false">E17/'County Plans'!$G$27</f>
        <v>0.0224876392446536</v>
      </c>
      <c r="G17" s="20" t="n">
        <f aca="false">E17*'County Plans'!$B$15</f>
        <v>188.75</v>
      </c>
      <c r="H17" s="30" t="n">
        <f aca="false">G17*'County Plans'!$B$16/1000</f>
        <v>51.90625</v>
      </c>
      <c r="I17" s="30" t="n">
        <f aca="false">G17*'County Plans'!$B$17/1000</f>
        <v>103.8125</v>
      </c>
      <c r="J17" s="20" t="n">
        <f aca="false">ROUNDUP(H17/'County Plans'!$B$21,0)</f>
        <v>1</v>
      </c>
      <c r="K17" s="20" t="n">
        <f aca="false">ROUNDUP(I17/'County Plans'!$B$21,0)</f>
        <v>2</v>
      </c>
      <c r="L17" s="28" t="n">
        <f aca="false">J17*'County Plans'!$B$6</f>
        <v>10000</v>
      </c>
      <c r="M17" s="28" t="n">
        <f aca="false">J17*'County Plans'!$B$7</f>
        <v>58333</v>
      </c>
      <c r="N17" s="28" t="n">
        <f aca="false">J17*'County Plans'!$B$8</f>
        <v>104643.75</v>
      </c>
      <c r="O17" s="28" t="n">
        <f aca="false">J17*'County Plans'!$B$9</f>
        <v>589147</v>
      </c>
    </row>
    <row r="18" customFormat="false" ht="15" hidden="false" customHeight="false" outlineLevel="0" collapsed="false">
      <c r="A18" s="17" t="s">
        <v>248</v>
      </c>
      <c r="B18" s="27" t="n">
        <v>2</v>
      </c>
      <c r="C18" s="27" t="s">
        <v>251</v>
      </c>
      <c r="D18" s="27" t="s">
        <v>250</v>
      </c>
      <c r="E18" s="18" t="n">
        <v>724</v>
      </c>
      <c r="F18" s="29" t="n">
        <f aca="false">E18/'County Plans'!$G$27</f>
        <v>0.0215643057127539</v>
      </c>
      <c r="G18" s="20" t="n">
        <f aca="false">E18*'County Plans'!$B$15</f>
        <v>181</v>
      </c>
      <c r="H18" s="30" t="n">
        <f aca="false">G18*'County Plans'!$B$16/1000</f>
        <v>49.775</v>
      </c>
      <c r="I18" s="30" t="n">
        <f aca="false">G18*'County Plans'!$B$17/1000</f>
        <v>99.55</v>
      </c>
      <c r="J18" s="20" t="n">
        <f aca="false">ROUNDUP(H18/'County Plans'!$B$21,0)</f>
        <v>1</v>
      </c>
      <c r="K18" s="20" t="n">
        <f aca="false">ROUNDUP(I18/'County Plans'!$B$21,0)</f>
        <v>1</v>
      </c>
      <c r="L18" s="28" t="n">
        <f aca="false">J18*'County Plans'!$B$6</f>
        <v>10000</v>
      </c>
      <c r="M18" s="28" t="n">
        <f aca="false">J18*'County Plans'!$B$7</f>
        <v>58333</v>
      </c>
      <c r="N18" s="28" t="n">
        <f aca="false">J18*'County Plans'!$B$8</f>
        <v>104643.75</v>
      </c>
      <c r="O18" s="28" t="n">
        <f aca="false">J18*'County Plans'!$B$9</f>
        <v>589147</v>
      </c>
    </row>
    <row r="19" customFormat="false" ht="15" hidden="false" customHeight="false" outlineLevel="0" collapsed="false">
      <c r="A19" s="17" t="s">
        <v>248</v>
      </c>
      <c r="B19" s="27" t="n">
        <v>3</v>
      </c>
      <c r="C19" s="27" t="s">
        <v>252</v>
      </c>
      <c r="D19" s="27" t="s">
        <v>250</v>
      </c>
      <c r="E19" s="18" t="n">
        <v>712</v>
      </c>
      <c r="F19" s="29" t="n">
        <f aca="false">E19/'County Plans'!$G$27</f>
        <v>0.0212068862810508</v>
      </c>
      <c r="G19" s="20" t="n">
        <f aca="false">E19*'County Plans'!$B$15</f>
        <v>178</v>
      </c>
      <c r="H19" s="30" t="n">
        <f aca="false">G19*'County Plans'!$B$16/1000</f>
        <v>48.95</v>
      </c>
      <c r="I19" s="30" t="n">
        <f aca="false">G19*'County Plans'!$B$17/1000</f>
        <v>97.9</v>
      </c>
      <c r="J19" s="20" t="n">
        <f aca="false">ROUNDUP(H19/'County Plans'!$B$21,0)</f>
        <v>1</v>
      </c>
      <c r="K19" s="20" t="n">
        <f aca="false">ROUNDUP(I19/'County Plans'!$B$21,0)</f>
        <v>1</v>
      </c>
      <c r="L19" s="28" t="n">
        <f aca="false">J19*'County Plans'!$B$6</f>
        <v>10000</v>
      </c>
      <c r="M19" s="28" t="n">
        <f aca="false">J19*'County Plans'!$B$7</f>
        <v>58333</v>
      </c>
      <c r="N19" s="28" t="n">
        <f aca="false">J19*'County Plans'!$B$8</f>
        <v>104643.75</v>
      </c>
      <c r="O19" s="28" t="n">
        <f aca="false">J19*'County Plans'!$B$9</f>
        <v>589147</v>
      </c>
    </row>
    <row r="20" customFormat="false" ht="15" hidden="false" customHeight="false" outlineLevel="0" collapsed="false">
      <c r="A20" s="17" t="s">
        <v>248</v>
      </c>
      <c r="B20" s="27" t="n">
        <v>4</v>
      </c>
      <c r="C20" s="27" t="s">
        <v>253</v>
      </c>
      <c r="D20" s="27" t="s">
        <v>250</v>
      </c>
      <c r="E20" s="18" t="n">
        <v>661</v>
      </c>
      <c r="F20" s="29" t="n">
        <f aca="false">E20/'County Plans'!$G$27</f>
        <v>0.0196878536963126</v>
      </c>
      <c r="G20" s="20" t="n">
        <f aca="false">E20*'County Plans'!$B$15</f>
        <v>165.25</v>
      </c>
      <c r="H20" s="30" t="n">
        <f aca="false">G20*'County Plans'!$B$16/1000</f>
        <v>45.44375</v>
      </c>
      <c r="I20" s="30" t="n">
        <f aca="false">G20*'County Plans'!$B$17/1000</f>
        <v>90.8875</v>
      </c>
      <c r="J20" s="20" t="n">
        <f aca="false">ROUNDUP(H20/'County Plans'!$B$21,0)</f>
        <v>1</v>
      </c>
      <c r="K20" s="20" t="n">
        <f aca="false">ROUNDUP(I20/'County Plans'!$B$21,0)</f>
        <v>1</v>
      </c>
      <c r="L20" s="28" t="n">
        <f aca="false">J20*'County Plans'!$B$6</f>
        <v>10000</v>
      </c>
      <c r="M20" s="28" t="n">
        <f aca="false">J20*'County Plans'!$B$7</f>
        <v>58333</v>
      </c>
      <c r="N20" s="28" t="n">
        <f aca="false">J20*'County Plans'!$B$8</f>
        <v>104643.75</v>
      </c>
      <c r="O20" s="28" t="n">
        <f aca="false">J20*'County Plans'!$B$9</f>
        <v>589147</v>
      </c>
    </row>
    <row r="21" customFormat="false" ht="15" hidden="false" customHeight="false" outlineLevel="0" collapsed="false">
      <c r="A21" s="17" t="s">
        <v>248</v>
      </c>
      <c r="B21" s="27" t="n">
        <v>5</v>
      </c>
      <c r="C21" s="27" t="s">
        <v>254</v>
      </c>
      <c r="D21" s="27" t="s">
        <v>255</v>
      </c>
      <c r="E21" s="18" t="n">
        <v>558</v>
      </c>
      <c r="F21" s="29" t="n">
        <f aca="false">E21/'County Plans'!$G$27</f>
        <v>0.0166200035741943</v>
      </c>
      <c r="G21" s="20" t="n">
        <f aca="false">E21*'County Plans'!$B$15</f>
        <v>139.5</v>
      </c>
      <c r="H21" s="30" t="n">
        <f aca="false">G21*'County Plans'!$B$16/1000</f>
        <v>38.3625</v>
      </c>
      <c r="I21" s="30" t="n">
        <f aca="false">G21*'County Plans'!$B$17/1000</f>
        <v>76.725</v>
      </c>
      <c r="J21" s="20" t="n">
        <f aca="false">ROUNDUP(H21/'County Plans'!$B$21,0)</f>
        <v>1</v>
      </c>
      <c r="K21" s="20" t="n">
        <f aca="false">ROUNDUP(I21/'County Plans'!$B$21,0)</f>
        <v>1</v>
      </c>
      <c r="L21" s="28" t="n">
        <f aca="false">J21*'County Plans'!$B$6</f>
        <v>10000</v>
      </c>
      <c r="M21" s="28" t="n">
        <f aca="false">J21*'County Plans'!$B$7</f>
        <v>58333</v>
      </c>
      <c r="N21" s="28" t="n">
        <f aca="false">J21*'County Plans'!$B$8</f>
        <v>104643.75</v>
      </c>
      <c r="O21" s="28" t="n">
        <f aca="false">J21*'County Plans'!$B$9</f>
        <v>589147</v>
      </c>
    </row>
    <row r="22" customFormat="false" ht="15" hidden="false" customHeight="false" outlineLevel="0" collapsed="false">
      <c r="A22" s="17" t="s">
        <v>248</v>
      </c>
      <c r="B22" s="27" t="n">
        <v>6</v>
      </c>
      <c r="C22" s="27" t="s">
        <v>256</v>
      </c>
      <c r="D22" s="27" t="s">
        <v>250</v>
      </c>
      <c r="E22" s="18" t="n">
        <v>527</v>
      </c>
      <c r="F22" s="29" t="n">
        <f aca="false">E22/'County Plans'!$G$27</f>
        <v>0.0156966700422946</v>
      </c>
      <c r="G22" s="20" t="n">
        <f aca="false">E22*'County Plans'!$B$15</f>
        <v>131.75</v>
      </c>
      <c r="H22" s="30" t="n">
        <f aca="false">G22*'County Plans'!$B$16/1000</f>
        <v>36.23125</v>
      </c>
      <c r="I22" s="30" t="n">
        <f aca="false">G22*'County Plans'!$B$17/1000</f>
        <v>72.4625</v>
      </c>
      <c r="J22" s="20" t="n">
        <f aca="false">ROUNDUP(H22/'County Plans'!$B$21,0)</f>
        <v>1</v>
      </c>
      <c r="K22" s="20" t="n">
        <f aca="false">ROUNDUP(I22/'County Plans'!$B$21,0)</f>
        <v>1</v>
      </c>
      <c r="L22" s="28" t="n">
        <f aca="false">J22*'County Plans'!$B$6</f>
        <v>10000</v>
      </c>
      <c r="M22" s="28" t="n">
        <f aca="false">J22*'County Plans'!$B$7</f>
        <v>58333</v>
      </c>
      <c r="N22" s="28" t="n">
        <f aca="false">J22*'County Plans'!$B$8</f>
        <v>104643.75</v>
      </c>
      <c r="O22" s="28" t="n">
        <f aca="false">J22*'County Plans'!$B$9</f>
        <v>589147</v>
      </c>
    </row>
    <row r="23" customFormat="false" ht="15" hidden="false" customHeight="false" outlineLevel="0" collapsed="false">
      <c r="A23" s="17" t="s">
        <v>248</v>
      </c>
      <c r="B23" s="27" t="n">
        <v>7</v>
      </c>
      <c r="C23" s="27" t="s">
        <v>257</v>
      </c>
      <c r="D23" s="27" t="s">
        <v>258</v>
      </c>
      <c r="E23" s="18" t="n">
        <v>517</v>
      </c>
      <c r="F23" s="29" t="n">
        <f aca="false">E23/'County Plans'!$G$27</f>
        <v>0.0153988205158754</v>
      </c>
      <c r="G23" s="20" t="n">
        <f aca="false">E23*'County Plans'!$B$15</f>
        <v>129.25</v>
      </c>
      <c r="H23" s="30" t="n">
        <f aca="false">G23*'County Plans'!$B$16/1000</f>
        <v>35.54375</v>
      </c>
      <c r="I23" s="30" t="n">
        <f aca="false">G23*'County Plans'!$B$17/1000</f>
        <v>71.0875</v>
      </c>
      <c r="J23" s="20" t="n">
        <f aca="false">ROUNDUP(H23/'County Plans'!$B$21,0)</f>
        <v>1</v>
      </c>
      <c r="K23" s="20" t="n">
        <f aca="false">ROUNDUP(I23/'County Plans'!$B$21,0)</f>
        <v>1</v>
      </c>
      <c r="L23" s="28" t="n">
        <f aca="false">J23*'County Plans'!$B$6</f>
        <v>10000</v>
      </c>
      <c r="M23" s="28" t="n">
        <f aca="false">J23*'County Plans'!$B$7</f>
        <v>58333</v>
      </c>
      <c r="N23" s="28" t="n">
        <f aca="false">J23*'County Plans'!$B$8</f>
        <v>104643.75</v>
      </c>
      <c r="O23" s="28" t="n">
        <f aca="false">J23*'County Plans'!$B$9</f>
        <v>589147</v>
      </c>
    </row>
    <row r="24" customFormat="false" ht="15" hidden="false" customHeight="false" outlineLevel="0" collapsed="false">
      <c r="A24" s="17" t="s">
        <v>248</v>
      </c>
      <c r="B24" s="27" t="n">
        <v>8</v>
      </c>
      <c r="C24" s="27" t="s">
        <v>259</v>
      </c>
      <c r="D24" s="27" t="s">
        <v>250</v>
      </c>
      <c r="E24" s="18" t="n">
        <v>502</v>
      </c>
      <c r="F24" s="29" t="n">
        <f aca="false">E24/'County Plans'!$G$27</f>
        <v>0.0149520462262465</v>
      </c>
      <c r="G24" s="20" t="n">
        <f aca="false">E24*'County Plans'!$B$15</f>
        <v>125.5</v>
      </c>
      <c r="H24" s="30" t="n">
        <f aca="false">G24*'County Plans'!$B$16/1000</f>
        <v>34.5125</v>
      </c>
      <c r="I24" s="30" t="n">
        <f aca="false">G24*'County Plans'!$B$17/1000</f>
        <v>69.025</v>
      </c>
      <c r="J24" s="20" t="n">
        <f aca="false">ROUNDUP(H24/'County Plans'!$B$21,0)</f>
        <v>1</v>
      </c>
      <c r="K24" s="20" t="n">
        <f aca="false">ROUNDUP(I24/'County Plans'!$B$21,0)</f>
        <v>1</v>
      </c>
      <c r="L24" s="28" t="n">
        <f aca="false">J24*'County Plans'!$B$6</f>
        <v>10000</v>
      </c>
      <c r="M24" s="28" t="n">
        <f aca="false">J24*'County Plans'!$B$7</f>
        <v>58333</v>
      </c>
      <c r="N24" s="28" t="n">
        <f aca="false">J24*'County Plans'!$B$8</f>
        <v>104643.75</v>
      </c>
      <c r="O24" s="28" t="n">
        <f aca="false">J24*'County Plans'!$B$9</f>
        <v>589147</v>
      </c>
    </row>
    <row r="25" customFormat="false" ht="15" hidden="false" customHeight="false" outlineLevel="0" collapsed="false">
      <c r="A25" s="17" t="s">
        <v>248</v>
      </c>
      <c r="B25" s="27" t="n">
        <v>9</v>
      </c>
      <c r="C25" s="27" t="s">
        <v>260</v>
      </c>
      <c r="D25" s="27" t="s">
        <v>261</v>
      </c>
      <c r="E25" s="18" t="n">
        <v>423</v>
      </c>
      <c r="F25" s="29" t="n">
        <f aca="false">E25/'County Plans'!$G$27</f>
        <v>0.0125990349675344</v>
      </c>
      <c r="G25" s="20" t="n">
        <f aca="false">E25*'County Plans'!$B$15</f>
        <v>105.75</v>
      </c>
      <c r="H25" s="30" t="n">
        <f aca="false">G25*'County Plans'!$B$16/1000</f>
        <v>29.08125</v>
      </c>
      <c r="I25" s="30" t="n">
        <f aca="false">G25*'County Plans'!$B$17/1000</f>
        <v>58.1625</v>
      </c>
      <c r="J25" s="20" t="n">
        <f aca="false">ROUNDUP(H25/'County Plans'!$B$21,0)</f>
        <v>1</v>
      </c>
      <c r="K25" s="20" t="n">
        <f aca="false">ROUNDUP(I25/'County Plans'!$B$21,0)</f>
        <v>1</v>
      </c>
      <c r="L25" s="28" t="n">
        <f aca="false">J25*'County Plans'!$B$6</f>
        <v>10000</v>
      </c>
      <c r="M25" s="28" t="n">
        <f aca="false">J25*'County Plans'!$B$7</f>
        <v>58333</v>
      </c>
      <c r="N25" s="28" t="n">
        <f aca="false">J25*'County Plans'!$B$8</f>
        <v>104643.75</v>
      </c>
      <c r="O25" s="28" t="n">
        <f aca="false">J25*'County Plans'!$B$9</f>
        <v>589147</v>
      </c>
    </row>
    <row r="26" customFormat="false" ht="15" hidden="false" customHeight="false" outlineLevel="0" collapsed="false">
      <c r="A26" s="17" t="s">
        <v>248</v>
      </c>
      <c r="B26" s="27" t="n">
        <v>10</v>
      </c>
      <c r="C26" s="27" t="s">
        <v>262</v>
      </c>
      <c r="D26" s="27" t="s">
        <v>250</v>
      </c>
      <c r="E26" s="18" t="n">
        <v>415</v>
      </c>
      <c r="F26" s="29" t="n">
        <f aca="false">E26/'County Plans'!$G$27</f>
        <v>0.012360755346399</v>
      </c>
      <c r="G26" s="20" t="n">
        <f aca="false">E26*'County Plans'!$B$15</f>
        <v>103.75</v>
      </c>
      <c r="H26" s="30" t="n">
        <f aca="false">G26*'County Plans'!$B$16/1000</f>
        <v>28.53125</v>
      </c>
      <c r="I26" s="30" t="n">
        <f aca="false">G26*'County Plans'!$B$17/1000</f>
        <v>57.0625</v>
      </c>
      <c r="J26" s="20" t="n">
        <f aca="false">ROUNDUP(H26/'County Plans'!$B$21,0)</f>
        <v>1</v>
      </c>
      <c r="K26" s="20" t="n">
        <f aca="false">ROUNDUP(I26/'County Plans'!$B$21,0)</f>
        <v>1</v>
      </c>
      <c r="L26" s="28" t="n">
        <f aca="false">J26*'County Plans'!$B$6</f>
        <v>10000</v>
      </c>
      <c r="M26" s="28" t="n">
        <f aca="false">J26*'County Plans'!$B$7</f>
        <v>58333</v>
      </c>
      <c r="N26" s="28" t="n">
        <f aca="false">J26*'County Plans'!$B$8</f>
        <v>104643.75</v>
      </c>
      <c r="O26" s="28" t="n">
        <f aca="false">J26*'County Plans'!$B$9</f>
        <v>589147</v>
      </c>
    </row>
    <row r="27" customFormat="false" ht="15" hidden="false" customHeight="false" outlineLevel="0" collapsed="false">
      <c r="A27" s="31" t="s">
        <v>263</v>
      </c>
      <c r="B27" s="32"/>
      <c r="C27" s="32"/>
      <c r="D27" s="32"/>
      <c r="E27" s="33" t="n">
        <f aca="false">SUM(E17:E26)</f>
        <v>5794</v>
      </c>
      <c r="F27" s="34" t="n">
        <f aca="false">SUM(F17:F26)</f>
        <v>0.172574015607315</v>
      </c>
      <c r="G27" s="33" t="n">
        <f aca="false">SUM(G17:G26)</f>
        <v>1448.5</v>
      </c>
      <c r="H27" s="35" t="n">
        <f aca="false">SUM(H17:H26)</f>
        <v>398.3375</v>
      </c>
      <c r="I27" s="35" t="n">
        <f aca="false">SUM(I17:I26)</f>
        <v>796.675</v>
      </c>
      <c r="J27" s="33" t="n">
        <f aca="false">SUM(J17:J26)</f>
        <v>10</v>
      </c>
      <c r="K27" s="33" t="n">
        <f aca="false">SUM(K17:K26)</f>
        <v>11</v>
      </c>
      <c r="L27" s="36" t="n">
        <f aca="false">SUM(L17:L26)</f>
        <v>100000</v>
      </c>
      <c r="M27" s="36" t="n">
        <f aca="false">SUM(M17:M26)</f>
        <v>583330</v>
      </c>
      <c r="N27" s="36" t="n">
        <f aca="false">SUM(N17:N26)</f>
        <v>1046437.5</v>
      </c>
      <c r="O27" s="36" t="n">
        <f aca="false">SUM(O17:O26)</f>
        <v>5891470</v>
      </c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customFormat="false" ht="15" hidden="false" customHeight="false" outlineLevel="0" collapsed="false">
      <c r="A29" s="17" t="s">
        <v>264</v>
      </c>
      <c r="B29" s="27" t="n">
        <v>1</v>
      </c>
      <c r="C29" s="27" t="s">
        <v>265</v>
      </c>
      <c r="D29" s="27" t="s">
        <v>266</v>
      </c>
      <c r="E29" s="18" t="n">
        <v>648</v>
      </c>
      <c r="F29" s="29" t="n">
        <f aca="false">E29/'County Plans'!$G$28</f>
        <v>0.0224914095310819</v>
      </c>
      <c r="G29" s="20" t="n">
        <f aca="false">E29*'County Plans'!$B$15</f>
        <v>162</v>
      </c>
      <c r="H29" s="30" t="n">
        <f aca="false">G29*'County Plans'!$B$16/1000</f>
        <v>44.55</v>
      </c>
      <c r="I29" s="30" t="n">
        <f aca="false">G29*'County Plans'!$B$17/1000</f>
        <v>89.1</v>
      </c>
      <c r="J29" s="20" t="n">
        <f aca="false">ROUNDUP(H29/'County Plans'!$B$21,0)</f>
        <v>1</v>
      </c>
      <c r="K29" s="20" t="n">
        <f aca="false">ROUNDUP(I29/'County Plans'!$B$21,0)</f>
        <v>1</v>
      </c>
      <c r="L29" s="28" t="n">
        <f aca="false">J29*'County Plans'!$B$6</f>
        <v>10000</v>
      </c>
      <c r="M29" s="28" t="n">
        <f aca="false">J29*'County Plans'!$B$7</f>
        <v>58333</v>
      </c>
      <c r="N29" s="28" t="n">
        <f aca="false">J29*'County Plans'!$B$8</f>
        <v>104643.75</v>
      </c>
      <c r="O29" s="28" t="n">
        <f aca="false">J29*'County Plans'!$B$9</f>
        <v>589147</v>
      </c>
    </row>
    <row r="30" customFormat="false" ht="15" hidden="false" customHeight="false" outlineLevel="0" collapsed="false">
      <c r="A30" s="17" t="s">
        <v>264</v>
      </c>
      <c r="B30" s="27" t="n">
        <v>2</v>
      </c>
      <c r="C30" s="27" t="s">
        <v>267</v>
      </c>
      <c r="D30" s="27" t="s">
        <v>268</v>
      </c>
      <c r="E30" s="18" t="n">
        <v>577</v>
      </c>
      <c r="F30" s="29" t="n">
        <f aca="false">E30/'County Plans'!$G$28</f>
        <v>0.0200270729929541</v>
      </c>
      <c r="G30" s="20" t="n">
        <f aca="false">E30*'County Plans'!$B$15</f>
        <v>144.25</v>
      </c>
      <c r="H30" s="30" t="n">
        <f aca="false">G30*'County Plans'!$B$16/1000</f>
        <v>39.66875</v>
      </c>
      <c r="I30" s="30" t="n">
        <f aca="false">G30*'County Plans'!$B$17/1000</f>
        <v>79.3375</v>
      </c>
      <c r="J30" s="20" t="n">
        <f aca="false">ROUNDUP(H30/'County Plans'!$B$21,0)</f>
        <v>1</v>
      </c>
      <c r="K30" s="20" t="n">
        <f aca="false">ROUNDUP(I30/'County Plans'!$B$21,0)</f>
        <v>1</v>
      </c>
      <c r="L30" s="28" t="n">
        <f aca="false">J30*'County Plans'!$B$6</f>
        <v>10000</v>
      </c>
      <c r="M30" s="28" t="n">
        <f aca="false">J30*'County Plans'!$B$7</f>
        <v>58333</v>
      </c>
      <c r="N30" s="28" t="n">
        <f aca="false">J30*'County Plans'!$B$8</f>
        <v>104643.75</v>
      </c>
      <c r="O30" s="28" t="n">
        <f aca="false">J30*'County Plans'!$B$9</f>
        <v>589147</v>
      </c>
    </row>
    <row r="31" customFormat="false" ht="15" hidden="false" customHeight="false" outlineLevel="0" collapsed="false">
      <c r="A31" s="17" t="s">
        <v>264</v>
      </c>
      <c r="B31" s="27" t="n">
        <v>3</v>
      </c>
      <c r="C31" s="27" t="s">
        <v>269</v>
      </c>
      <c r="D31" s="27" t="s">
        <v>270</v>
      </c>
      <c r="E31" s="18" t="n">
        <v>563</v>
      </c>
      <c r="F31" s="29" t="n">
        <f aca="false">E31/'County Plans'!$G$28</f>
        <v>0.0195411474783937</v>
      </c>
      <c r="G31" s="20" t="n">
        <f aca="false">E31*'County Plans'!$B$15</f>
        <v>140.75</v>
      </c>
      <c r="H31" s="30" t="n">
        <f aca="false">G31*'County Plans'!$B$16/1000</f>
        <v>38.70625</v>
      </c>
      <c r="I31" s="30" t="n">
        <f aca="false">G31*'County Plans'!$B$17/1000</f>
        <v>77.4125</v>
      </c>
      <c r="J31" s="20" t="n">
        <f aca="false">ROUNDUP(H31/'County Plans'!$B$21,0)</f>
        <v>1</v>
      </c>
      <c r="K31" s="20" t="n">
        <f aca="false">ROUNDUP(I31/'County Plans'!$B$21,0)</f>
        <v>1</v>
      </c>
      <c r="L31" s="28" t="n">
        <f aca="false">J31*'County Plans'!$B$6</f>
        <v>10000</v>
      </c>
      <c r="M31" s="28" t="n">
        <f aca="false">J31*'County Plans'!$B$7</f>
        <v>58333</v>
      </c>
      <c r="N31" s="28" t="n">
        <f aca="false">J31*'County Plans'!$B$8</f>
        <v>104643.75</v>
      </c>
      <c r="O31" s="28" t="n">
        <f aca="false">J31*'County Plans'!$B$9</f>
        <v>589147</v>
      </c>
    </row>
    <row r="32" customFormat="false" ht="15" hidden="false" customHeight="false" outlineLevel="0" collapsed="false">
      <c r="A32" s="17" t="s">
        <v>264</v>
      </c>
      <c r="B32" s="27" t="n">
        <v>4</v>
      </c>
      <c r="C32" s="27" t="s">
        <v>271</v>
      </c>
      <c r="D32" s="27" t="s">
        <v>272</v>
      </c>
      <c r="E32" s="18" t="n">
        <v>531</v>
      </c>
      <c r="F32" s="29" t="n">
        <f aca="false">E32/'County Plans'!$G$28</f>
        <v>0.0184304605879699</v>
      </c>
      <c r="G32" s="20" t="n">
        <f aca="false">E32*'County Plans'!$B$15</f>
        <v>132.75</v>
      </c>
      <c r="H32" s="30" t="n">
        <f aca="false">G32*'County Plans'!$B$16/1000</f>
        <v>36.50625</v>
      </c>
      <c r="I32" s="30" t="n">
        <f aca="false">G32*'County Plans'!$B$17/1000</f>
        <v>73.0125</v>
      </c>
      <c r="J32" s="20" t="n">
        <f aca="false">ROUNDUP(H32/'County Plans'!$B$21,0)</f>
        <v>1</v>
      </c>
      <c r="K32" s="20" t="n">
        <f aca="false">ROUNDUP(I32/'County Plans'!$B$21,0)</f>
        <v>1</v>
      </c>
      <c r="L32" s="28" t="n">
        <f aca="false">J32*'County Plans'!$B$6</f>
        <v>10000</v>
      </c>
      <c r="M32" s="28" t="n">
        <f aca="false">J32*'County Plans'!$B$7</f>
        <v>58333</v>
      </c>
      <c r="N32" s="28" t="n">
        <f aca="false">J32*'County Plans'!$B$8</f>
        <v>104643.75</v>
      </c>
      <c r="O32" s="28" t="n">
        <f aca="false">J32*'County Plans'!$B$9</f>
        <v>589147</v>
      </c>
    </row>
    <row r="33" customFormat="false" ht="15" hidden="false" customHeight="false" outlineLevel="0" collapsed="false">
      <c r="A33" s="17" t="s">
        <v>264</v>
      </c>
      <c r="B33" s="27" t="n">
        <v>5</v>
      </c>
      <c r="C33" s="27" t="s">
        <v>273</v>
      </c>
      <c r="D33" s="27" t="s">
        <v>274</v>
      </c>
      <c r="E33" s="18" t="n">
        <v>530</v>
      </c>
      <c r="F33" s="29" t="n">
        <f aca="false">E33/'County Plans'!$G$28</f>
        <v>0.0183957516226441</v>
      </c>
      <c r="G33" s="20" t="n">
        <f aca="false">E33*'County Plans'!$B$15</f>
        <v>132.5</v>
      </c>
      <c r="H33" s="30" t="n">
        <f aca="false">G33*'County Plans'!$B$16/1000</f>
        <v>36.4375</v>
      </c>
      <c r="I33" s="30" t="n">
        <f aca="false">G33*'County Plans'!$B$17/1000</f>
        <v>72.875</v>
      </c>
      <c r="J33" s="20" t="n">
        <f aca="false">ROUNDUP(H33/'County Plans'!$B$21,0)</f>
        <v>1</v>
      </c>
      <c r="K33" s="20" t="n">
        <f aca="false">ROUNDUP(I33/'County Plans'!$B$21,0)</f>
        <v>1</v>
      </c>
      <c r="L33" s="28" t="n">
        <f aca="false">J33*'County Plans'!$B$6</f>
        <v>10000</v>
      </c>
      <c r="M33" s="28" t="n">
        <f aca="false">J33*'County Plans'!$B$7</f>
        <v>58333</v>
      </c>
      <c r="N33" s="28" t="n">
        <f aca="false">J33*'County Plans'!$B$8</f>
        <v>104643.75</v>
      </c>
      <c r="O33" s="28" t="n">
        <f aca="false">J33*'County Plans'!$B$9</f>
        <v>589147</v>
      </c>
    </row>
    <row r="34" customFormat="false" ht="15" hidden="false" customHeight="false" outlineLevel="0" collapsed="false">
      <c r="A34" s="17" t="s">
        <v>264</v>
      </c>
      <c r="B34" s="27" t="n">
        <v>6</v>
      </c>
      <c r="C34" s="27" t="s">
        <v>275</v>
      </c>
      <c r="D34" s="27" t="s">
        <v>274</v>
      </c>
      <c r="E34" s="18" t="n">
        <v>524</v>
      </c>
      <c r="F34" s="29" t="n">
        <f aca="false">E34/'County Plans'!$G$28</f>
        <v>0.0181874978306897</v>
      </c>
      <c r="G34" s="20" t="n">
        <f aca="false">E34*'County Plans'!$B$15</f>
        <v>131</v>
      </c>
      <c r="H34" s="30" t="n">
        <f aca="false">G34*'County Plans'!$B$16/1000</f>
        <v>36.025</v>
      </c>
      <c r="I34" s="30" t="n">
        <f aca="false">G34*'County Plans'!$B$17/1000</f>
        <v>72.05</v>
      </c>
      <c r="J34" s="20" t="n">
        <f aca="false">ROUNDUP(H34/'County Plans'!$B$21,0)</f>
        <v>1</v>
      </c>
      <c r="K34" s="20" t="n">
        <f aca="false">ROUNDUP(I34/'County Plans'!$B$21,0)</f>
        <v>1</v>
      </c>
      <c r="L34" s="28" t="n">
        <f aca="false">J34*'County Plans'!$B$6</f>
        <v>10000</v>
      </c>
      <c r="M34" s="28" t="n">
        <f aca="false">J34*'County Plans'!$B$7</f>
        <v>58333</v>
      </c>
      <c r="N34" s="28" t="n">
        <f aca="false">J34*'County Plans'!$B$8</f>
        <v>104643.75</v>
      </c>
      <c r="O34" s="28" t="n">
        <f aca="false">J34*'County Plans'!$B$9</f>
        <v>589147</v>
      </c>
    </row>
    <row r="35" customFormat="false" ht="15" hidden="false" customHeight="false" outlineLevel="0" collapsed="false">
      <c r="A35" s="17" t="s">
        <v>264</v>
      </c>
      <c r="B35" s="27" t="n">
        <v>7</v>
      </c>
      <c r="C35" s="27" t="s">
        <v>276</v>
      </c>
      <c r="D35" s="27" t="s">
        <v>270</v>
      </c>
      <c r="E35" s="18" t="n">
        <v>453</v>
      </c>
      <c r="F35" s="29" t="n">
        <f aca="false">E35/'County Plans'!$G$28</f>
        <v>0.0157231612925619</v>
      </c>
      <c r="G35" s="20" t="n">
        <f aca="false">E35*'County Plans'!$B$15</f>
        <v>113.25</v>
      </c>
      <c r="H35" s="30" t="n">
        <f aca="false">G35*'County Plans'!$B$16/1000</f>
        <v>31.14375</v>
      </c>
      <c r="I35" s="30" t="n">
        <f aca="false">G35*'County Plans'!$B$17/1000</f>
        <v>62.2875</v>
      </c>
      <c r="J35" s="20" t="n">
        <f aca="false">ROUNDUP(H35/'County Plans'!$B$21,0)</f>
        <v>1</v>
      </c>
      <c r="K35" s="20" t="n">
        <f aca="false">ROUNDUP(I35/'County Plans'!$B$21,0)</f>
        <v>1</v>
      </c>
      <c r="L35" s="28" t="n">
        <f aca="false">J35*'County Plans'!$B$6</f>
        <v>10000</v>
      </c>
      <c r="M35" s="28" t="n">
        <f aca="false">J35*'County Plans'!$B$7</f>
        <v>58333</v>
      </c>
      <c r="N35" s="28" t="n">
        <f aca="false">J35*'County Plans'!$B$8</f>
        <v>104643.75</v>
      </c>
      <c r="O35" s="28" t="n">
        <f aca="false">J35*'County Plans'!$B$9</f>
        <v>589147</v>
      </c>
    </row>
    <row r="36" customFormat="false" ht="15" hidden="false" customHeight="false" outlineLevel="0" collapsed="false">
      <c r="A36" s="17" t="s">
        <v>264</v>
      </c>
      <c r="B36" s="27" t="n">
        <v>8</v>
      </c>
      <c r="C36" s="27" t="s">
        <v>277</v>
      </c>
      <c r="D36" s="27" t="s">
        <v>278</v>
      </c>
      <c r="E36" s="18" t="n">
        <v>451</v>
      </c>
      <c r="F36" s="29" t="n">
        <f aca="false">E36/'County Plans'!$G$28</f>
        <v>0.0156537433619104</v>
      </c>
      <c r="G36" s="20" t="n">
        <f aca="false">E36*'County Plans'!$B$15</f>
        <v>112.75</v>
      </c>
      <c r="H36" s="30" t="n">
        <f aca="false">G36*'County Plans'!$B$16/1000</f>
        <v>31.00625</v>
      </c>
      <c r="I36" s="30" t="n">
        <f aca="false">G36*'County Plans'!$B$17/1000</f>
        <v>62.0125</v>
      </c>
      <c r="J36" s="20" t="n">
        <f aca="false">ROUNDUP(H36/'County Plans'!$B$21,0)</f>
        <v>1</v>
      </c>
      <c r="K36" s="20" t="n">
        <f aca="false">ROUNDUP(I36/'County Plans'!$B$21,0)</f>
        <v>1</v>
      </c>
      <c r="L36" s="28" t="n">
        <f aca="false">J36*'County Plans'!$B$6</f>
        <v>10000</v>
      </c>
      <c r="M36" s="28" t="n">
        <f aca="false">J36*'County Plans'!$B$7</f>
        <v>58333</v>
      </c>
      <c r="N36" s="28" t="n">
        <f aca="false">J36*'County Plans'!$B$8</f>
        <v>104643.75</v>
      </c>
      <c r="O36" s="28" t="n">
        <f aca="false">J36*'County Plans'!$B$9</f>
        <v>589147</v>
      </c>
    </row>
    <row r="37" customFormat="false" ht="15" hidden="false" customHeight="false" outlineLevel="0" collapsed="false">
      <c r="A37" s="17" t="s">
        <v>264</v>
      </c>
      <c r="B37" s="27" t="n">
        <v>9</v>
      </c>
      <c r="C37" s="27" t="s">
        <v>279</v>
      </c>
      <c r="D37" s="27" t="s">
        <v>270</v>
      </c>
      <c r="E37" s="18" t="n">
        <v>435</v>
      </c>
      <c r="F37" s="29" t="n">
        <f aca="false">E37/'County Plans'!$G$28</f>
        <v>0.0150983999166985</v>
      </c>
      <c r="G37" s="20" t="n">
        <f aca="false">E37*'County Plans'!$B$15</f>
        <v>108.75</v>
      </c>
      <c r="H37" s="30" t="n">
        <f aca="false">G37*'County Plans'!$B$16/1000</f>
        <v>29.90625</v>
      </c>
      <c r="I37" s="30" t="n">
        <f aca="false">G37*'County Plans'!$B$17/1000</f>
        <v>59.8125</v>
      </c>
      <c r="J37" s="20" t="n">
        <f aca="false">ROUNDUP(H37/'County Plans'!$B$21,0)</f>
        <v>1</v>
      </c>
      <c r="K37" s="20" t="n">
        <f aca="false">ROUNDUP(I37/'County Plans'!$B$21,0)</f>
        <v>1</v>
      </c>
      <c r="L37" s="28" t="n">
        <f aca="false">J37*'County Plans'!$B$6</f>
        <v>10000</v>
      </c>
      <c r="M37" s="28" t="n">
        <f aca="false">J37*'County Plans'!$B$7</f>
        <v>58333</v>
      </c>
      <c r="N37" s="28" t="n">
        <f aca="false">J37*'County Plans'!$B$8</f>
        <v>104643.75</v>
      </c>
      <c r="O37" s="28" t="n">
        <f aca="false">J37*'County Plans'!$B$9</f>
        <v>589147</v>
      </c>
    </row>
    <row r="38" customFormat="false" ht="15" hidden="false" customHeight="false" outlineLevel="0" collapsed="false">
      <c r="A38" s="17" t="s">
        <v>264</v>
      </c>
      <c r="B38" s="27" t="n">
        <v>10</v>
      </c>
      <c r="C38" s="27" t="s">
        <v>280</v>
      </c>
      <c r="D38" s="27" t="s">
        <v>270</v>
      </c>
      <c r="E38" s="18" t="n">
        <v>413</v>
      </c>
      <c r="F38" s="29" t="n">
        <f aca="false">E38/'County Plans'!$G$28</f>
        <v>0.0143348026795321</v>
      </c>
      <c r="G38" s="20" t="n">
        <f aca="false">E38*'County Plans'!$B$15</f>
        <v>103.25</v>
      </c>
      <c r="H38" s="30" t="n">
        <f aca="false">G38*'County Plans'!$B$16/1000</f>
        <v>28.39375</v>
      </c>
      <c r="I38" s="30" t="n">
        <f aca="false">G38*'County Plans'!$B$17/1000</f>
        <v>56.7875</v>
      </c>
      <c r="J38" s="20" t="n">
        <f aca="false">ROUNDUP(H38/'County Plans'!$B$21,0)</f>
        <v>1</v>
      </c>
      <c r="K38" s="20" t="n">
        <f aca="false">ROUNDUP(I38/'County Plans'!$B$21,0)</f>
        <v>1</v>
      </c>
      <c r="L38" s="28" t="n">
        <f aca="false">J38*'County Plans'!$B$6</f>
        <v>10000</v>
      </c>
      <c r="M38" s="28" t="n">
        <f aca="false">J38*'County Plans'!$B$7</f>
        <v>58333</v>
      </c>
      <c r="N38" s="28" t="n">
        <f aca="false">J38*'County Plans'!$B$8</f>
        <v>104643.75</v>
      </c>
      <c r="O38" s="28" t="n">
        <f aca="false">J38*'County Plans'!$B$9</f>
        <v>589147</v>
      </c>
    </row>
    <row r="39" customFormat="false" ht="15" hidden="false" customHeight="false" outlineLevel="0" collapsed="false">
      <c r="A39" s="31" t="s">
        <v>281</v>
      </c>
      <c r="B39" s="32"/>
      <c r="C39" s="32"/>
      <c r="D39" s="32"/>
      <c r="E39" s="33" t="n">
        <f aca="false">SUM(E29:E38)</f>
        <v>5125</v>
      </c>
      <c r="F39" s="34" t="n">
        <f aca="false">SUM(F29:F38)</f>
        <v>0.177883447294436</v>
      </c>
      <c r="G39" s="33" t="n">
        <f aca="false">SUM(G29:G38)</f>
        <v>1281.25</v>
      </c>
      <c r="H39" s="35" t="n">
        <f aca="false">SUM(H29:H38)</f>
        <v>352.34375</v>
      </c>
      <c r="I39" s="35" t="n">
        <f aca="false">SUM(I29:I38)</f>
        <v>704.6875</v>
      </c>
      <c r="J39" s="33" t="n">
        <f aca="false">SUM(J29:J38)</f>
        <v>10</v>
      </c>
      <c r="K39" s="33" t="n">
        <f aca="false">SUM(K29:K38)</f>
        <v>10</v>
      </c>
      <c r="L39" s="36" t="n">
        <f aca="false">SUM(L29:L38)</f>
        <v>100000</v>
      </c>
      <c r="M39" s="36" t="n">
        <f aca="false">SUM(M29:M38)</f>
        <v>583330</v>
      </c>
      <c r="N39" s="36" t="n">
        <f aca="false">SUM(N29:N38)</f>
        <v>1046437.5</v>
      </c>
      <c r="O39" s="36" t="n">
        <f aca="false">SUM(O29:O38)</f>
        <v>5891470</v>
      </c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customFormat="false" ht="15" hidden="false" customHeight="false" outlineLevel="0" collapsed="false">
      <c r="A41" s="17" t="s">
        <v>282</v>
      </c>
      <c r="B41" s="27" t="n">
        <v>1</v>
      </c>
      <c r="C41" s="27" t="s">
        <v>283</v>
      </c>
      <c r="D41" s="27" t="s">
        <v>284</v>
      </c>
      <c r="E41" s="18" t="n">
        <v>901</v>
      </c>
      <c r="F41" s="29" t="n">
        <f aca="false">E41/'County Plans'!$G$29</f>
        <v>0.0274001763829334</v>
      </c>
      <c r="G41" s="20" t="n">
        <f aca="false">E41*'County Plans'!$B$15</f>
        <v>225.25</v>
      </c>
      <c r="H41" s="30" t="n">
        <f aca="false">G41*'County Plans'!$B$16/1000</f>
        <v>61.94375</v>
      </c>
      <c r="I41" s="30" t="n">
        <f aca="false">G41*'County Plans'!$B$17/1000</f>
        <v>123.8875</v>
      </c>
      <c r="J41" s="20" t="n">
        <f aca="false">ROUNDUP(H41/'County Plans'!$B$21,0)</f>
        <v>1</v>
      </c>
      <c r="K41" s="20" t="n">
        <f aca="false">ROUNDUP(I41/'County Plans'!$B$21,0)</f>
        <v>2</v>
      </c>
      <c r="L41" s="28" t="n">
        <f aca="false">J41*'County Plans'!$B$6</f>
        <v>10000</v>
      </c>
      <c r="M41" s="28" t="n">
        <f aca="false">J41*'County Plans'!$B$7</f>
        <v>58333</v>
      </c>
      <c r="N41" s="28" t="n">
        <f aca="false">J41*'County Plans'!$B$8</f>
        <v>104643.75</v>
      </c>
      <c r="O41" s="28" t="n">
        <f aca="false">J41*'County Plans'!$B$9</f>
        <v>589147</v>
      </c>
    </row>
    <row r="42" customFormat="false" ht="15" hidden="false" customHeight="false" outlineLevel="0" collapsed="false">
      <c r="A42" s="17" t="s">
        <v>282</v>
      </c>
      <c r="B42" s="27" t="n">
        <v>2</v>
      </c>
      <c r="C42" s="27" t="s">
        <v>285</v>
      </c>
      <c r="D42" s="27" t="s">
        <v>286</v>
      </c>
      <c r="E42" s="18" t="n">
        <v>784</v>
      </c>
      <c r="F42" s="29" t="n">
        <f aca="false">E42/'County Plans'!$G$29</f>
        <v>0.023842106863729</v>
      </c>
      <c r="G42" s="20" t="n">
        <f aca="false">E42*'County Plans'!$B$15</f>
        <v>196</v>
      </c>
      <c r="H42" s="30" t="n">
        <f aca="false">G42*'County Plans'!$B$16/1000</f>
        <v>53.9</v>
      </c>
      <c r="I42" s="30" t="n">
        <f aca="false">G42*'County Plans'!$B$17/1000</f>
        <v>107.8</v>
      </c>
      <c r="J42" s="20" t="n">
        <f aca="false">ROUNDUP(H42/'County Plans'!$B$21,0)</f>
        <v>1</v>
      </c>
      <c r="K42" s="20" t="n">
        <f aca="false">ROUNDUP(I42/'County Plans'!$B$21,0)</f>
        <v>2</v>
      </c>
      <c r="L42" s="28" t="n">
        <f aca="false">J42*'County Plans'!$B$6</f>
        <v>10000</v>
      </c>
      <c r="M42" s="28" t="n">
        <f aca="false">J42*'County Plans'!$B$7</f>
        <v>58333</v>
      </c>
      <c r="N42" s="28" t="n">
        <f aca="false">J42*'County Plans'!$B$8</f>
        <v>104643.75</v>
      </c>
      <c r="O42" s="28" t="n">
        <f aca="false">J42*'County Plans'!$B$9</f>
        <v>589147</v>
      </c>
    </row>
    <row r="43" customFormat="false" ht="15" hidden="false" customHeight="false" outlineLevel="0" collapsed="false">
      <c r="A43" s="17" t="s">
        <v>282</v>
      </c>
      <c r="B43" s="27" t="n">
        <v>3</v>
      </c>
      <c r="C43" s="27" t="s">
        <v>287</v>
      </c>
      <c r="D43" s="27" t="s">
        <v>288</v>
      </c>
      <c r="E43" s="18" t="n">
        <v>689</v>
      </c>
      <c r="F43" s="29" t="n">
        <f aca="false">E43/'County Plans'!$G$29</f>
        <v>0.0209530760575373</v>
      </c>
      <c r="G43" s="20" t="n">
        <f aca="false">E43*'County Plans'!$B$15</f>
        <v>172.25</v>
      </c>
      <c r="H43" s="30" t="n">
        <f aca="false">G43*'County Plans'!$B$16/1000</f>
        <v>47.36875</v>
      </c>
      <c r="I43" s="30" t="n">
        <f aca="false">G43*'County Plans'!$B$17/1000</f>
        <v>94.7375</v>
      </c>
      <c r="J43" s="20" t="n">
        <f aca="false">ROUNDUP(H43/'County Plans'!$B$21,0)</f>
        <v>1</v>
      </c>
      <c r="K43" s="20" t="n">
        <f aca="false">ROUNDUP(I43/'County Plans'!$B$21,0)</f>
        <v>1</v>
      </c>
      <c r="L43" s="28" t="n">
        <f aca="false">J43*'County Plans'!$B$6</f>
        <v>10000</v>
      </c>
      <c r="M43" s="28" t="n">
        <f aca="false">J43*'County Plans'!$B$7</f>
        <v>58333</v>
      </c>
      <c r="N43" s="28" t="n">
        <f aca="false">J43*'County Plans'!$B$8</f>
        <v>104643.75</v>
      </c>
      <c r="O43" s="28" t="n">
        <f aca="false">J43*'County Plans'!$B$9</f>
        <v>589147</v>
      </c>
    </row>
    <row r="44" customFormat="false" ht="15" hidden="false" customHeight="false" outlineLevel="0" collapsed="false">
      <c r="A44" s="17" t="s">
        <v>282</v>
      </c>
      <c r="B44" s="27" t="n">
        <v>4</v>
      </c>
      <c r="C44" s="27" t="s">
        <v>289</v>
      </c>
      <c r="D44" s="27" t="s">
        <v>290</v>
      </c>
      <c r="E44" s="18" t="n">
        <v>569</v>
      </c>
      <c r="F44" s="29" t="n">
        <f aca="false">E44/'County Plans'!$G$29</f>
        <v>0.0173037739865584</v>
      </c>
      <c r="G44" s="20" t="n">
        <f aca="false">E44*'County Plans'!$B$15</f>
        <v>142.25</v>
      </c>
      <c r="H44" s="30" t="n">
        <f aca="false">G44*'County Plans'!$B$16/1000</f>
        <v>39.11875</v>
      </c>
      <c r="I44" s="30" t="n">
        <f aca="false">G44*'County Plans'!$B$17/1000</f>
        <v>78.2375</v>
      </c>
      <c r="J44" s="20" t="n">
        <f aca="false">ROUNDUP(H44/'County Plans'!$B$21,0)</f>
        <v>1</v>
      </c>
      <c r="K44" s="20" t="n">
        <f aca="false">ROUNDUP(I44/'County Plans'!$B$21,0)</f>
        <v>1</v>
      </c>
      <c r="L44" s="28" t="n">
        <f aca="false">J44*'County Plans'!$B$6</f>
        <v>10000</v>
      </c>
      <c r="M44" s="28" t="n">
        <f aca="false">J44*'County Plans'!$B$7</f>
        <v>58333</v>
      </c>
      <c r="N44" s="28" t="n">
        <f aca="false">J44*'County Plans'!$B$8</f>
        <v>104643.75</v>
      </c>
      <c r="O44" s="28" t="n">
        <f aca="false">J44*'County Plans'!$B$9</f>
        <v>589147</v>
      </c>
    </row>
    <row r="45" customFormat="false" ht="15" hidden="false" customHeight="false" outlineLevel="0" collapsed="false">
      <c r="A45" s="17" t="s">
        <v>282</v>
      </c>
      <c r="B45" s="27" t="n">
        <v>5</v>
      </c>
      <c r="C45" s="27" t="s">
        <v>291</v>
      </c>
      <c r="D45" s="27" t="s">
        <v>292</v>
      </c>
      <c r="E45" s="18" t="n">
        <v>533</v>
      </c>
      <c r="F45" s="29" t="n">
        <f aca="false">E45/'County Plans'!$G$29</f>
        <v>0.0162089833652647</v>
      </c>
      <c r="G45" s="20" t="n">
        <f aca="false">E45*'County Plans'!$B$15</f>
        <v>133.25</v>
      </c>
      <c r="H45" s="30" t="n">
        <f aca="false">G45*'County Plans'!$B$16/1000</f>
        <v>36.64375</v>
      </c>
      <c r="I45" s="30" t="n">
        <f aca="false">G45*'County Plans'!$B$17/1000</f>
        <v>73.2875</v>
      </c>
      <c r="J45" s="20" t="n">
        <f aca="false">ROUNDUP(H45/'County Plans'!$B$21,0)</f>
        <v>1</v>
      </c>
      <c r="K45" s="20" t="n">
        <f aca="false">ROUNDUP(I45/'County Plans'!$B$21,0)</f>
        <v>1</v>
      </c>
      <c r="L45" s="28" t="n">
        <f aca="false">J45*'County Plans'!$B$6</f>
        <v>10000</v>
      </c>
      <c r="M45" s="28" t="n">
        <f aca="false">J45*'County Plans'!$B$7</f>
        <v>58333</v>
      </c>
      <c r="N45" s="28" t="n">
        <f aca="false">J45*'County Plans'!$B$8</f>
        <v>104643.75</v>
      </c>
      <c r="O45" s="28" t="n">
        <f aca="false">J45*'County Plans'!$B$9</f>
        <v>589147</v>
      </c>
    </row>
    <row r="46" customFormat="false" ht="15" hidden="false" customHeight="false" outlineLevel="0" collapsed="false">
      <c r="A46" s="17" t="s">
        <v>282</v>
      </c>
      <c r="B46" s="27" t="n">
        <v>6</v>
      </c>
      <c r="C46" s="27" t="s">
        <v>293</v>
      </c>
      <c r="D46" s="27" t="s">
        <v>294</v>
      </c>
      <c r="E46" s="18" t="n">
        <v>514</v>
      </c>
      <c r="F46" s="29" t="n">
        <f aca="false">E46/'County Plans'!$G$29</f>
        <v>0.0156311772040264</v>
      </c>
      <c r="G46" s="20" t="n">
        <f aca="false">E46*'County Plans'!$B$15</f>
        <v>128.5</v>
      </c>
      <c r="H46" s="30" t="n">
        <f aca="false">G46*'County Plans'!$B$16/1000</f>
        <v>35.3375</v>
      </c>
      <c r="I46" s="30" t="n">
        <f aca="false">G46*'County Plans'!$B$17/1000</f>
        <v>70.675</v>
      </c>
      <c r="J46" s="20" t="n">
        <f aca="false">ROUNDUP(H46/'County Plans'!$B$21,0)</f>
        <v>1</v>
      </c>
      <c r="K46" s="20" t="n">
        <f aca="false">ROUNDUP(I46/'County Plans'!$B$21,0)</f>
        <v>1</v>
      </c>
      <c r="L46" s="28" t="n">
        <f aca="false">J46*'County Plans'!$B$6</f>
        <v>10000</v>
      </c>
      <c r="M46" s="28" t="n">
        <f aca="false">J46*'County Plans'!$B$7</f>
        <v>58333</v>
      </c>
      <c r="N46" s="28" t="n">
        <f aca="false">J46*'County Plans'!$B$8</f>
        <v>104643.75</v>
      </c>
      <c r="O46" s="28" t="n">
        <f aca="false">J46*'County Plans'!$B$9</f>
        <v>589147</v>
      </c>
    </row>
    <row r="47" customFormat="false" ht="15" hidden="false" customHeight="false" outlineLevel="0" collapsed="false">
      <c r="A47" s="17" t="s">
        <v>282</v>
      </c>
      <c r="B47" s="27" t="n">
        <v>7</v>
      </c>
      <c r="C47" s="27" t="s">
        <v>295</v>
      </c>
      <c r="D47" s="27" t="s">
        <v>296</v>
      </c>
      <c r="E47" s="18" t="n">
        <v>510</v>
      </c>
      <c r="F47" s="29" t="n">
        <f aca="false">E47/'County Plans'!$G$29</f>
        <v>0.0155095338016604</v>
      </c>
      <c r="G47" s="20" t="n">
        <f aca="false">E47*'County Plans'!$B$15</f>
        <v>127.5</v>
      </c>
      <c r="H47" s="30" t="n">
        <f aca="false">G47*'County Plans'!$B$16/1000</f>
        <v>35.0625</v>
      </c>
      <c r="I47" s="30" t="n">
        <f aca="false">G47*'County Plans'!$B$17/1000</f>
        <v>70.125</v>
      </c>
      <c r="J47" s="20" t="n">
        <f aca="false">ROUNDUP(H47/'County Plans'!$B$21,0)</f>
        <v>1</v>
      </c>
      <c r="K47" s="20" t="n">
        <f aca="false">ROUNDUP(I47/'County Plans'!$B$21,0)</f>
        <v>1</v>
      </c>
      <c r="L47" s="28" t="n">
        <f aca="false">J47*'County Plans'!$B$6</f>
        <v>10000</v>
      </c>
      <c r="M47" s="28" t="n">
        <f aca="false">J47*'County Plans'!$B$7</f>
        <v>58333</v>
      </c>
      <c r="N47" s="28" t="n">
        <f aca="false">J47*'County Plans'!$B$8</f>
        <v>104643.75</v>
      </c>
      <c r="O47" s="28" t="n">
        <f aca="false">J47*'County Plans'!$B$9</f>
        <v>589147</v>
      </c>
    </row>
    <row r="48" customFormat="false" ht="15" hidden="false" customHeight="false" outlineLevel="0" collapsed="false">
      <c r="A48" s="17" t="s">
        <v>282</v>
      </c>
      <c r="B48" s="27" t="n">
        <v>8</v>
      </c>
      <c r="C48" s="27" t="s">
        <v>297</v>
      </c>
      <c r="D48" s="27" t="s">
        <v>290</v>
      </c>
      <c r="E48" s="18" t="n">
        <v>484</v>
      </c>
      <c r="F48" s="29" t="n">
        <f aca="false">E48/'County Plans'!$G$29</f>
        <v>0.0147188516862817</v>
      </c>
      <c r="G48" s="20" t="n">
        <f aca="false">E48*'County Plans'!$B$15</f>
        <v>121</v>
      </c>
      <c r="H48" s="30" t="n">
        <f aca="false">G48*'County Plans'!$B$16/1000</f>
        <v>33.275</v>
      </c>
      <c r="I48" s="30" t="n">
        <f aca="false">G48*'County Plans'!$B$17/1000</f>
        <v>66.55</v>
      </c>
      <c r="J48" s="20" t="n">
        <f aca="false">ROUNDUP(H48/'County Plans'!$B$21,0)</f>
        <v>1</v>
      </c>
      <c r="K48" s="20" t="n">
        <f aca="false">ROUNDUP(I48/'County Plans'!$B$21,0)</f>
        <v>1</v>
      </c>
      <c r="L48" s="28" t="n">
        <f aca="false">J48*'County Plans'!$B$6</f>
        <v>10000</v>
      </c>
      <c r="M48" s="28" t="n">
        <f aca="false">J48*'County Plans'!$B$7</f>
        <v>58333</v>
      </c>
      <c r="N48" s="28" t="n">
        <f aca="false">J48*'County Plans'!$B$8</f>
        <v>104643.75</v>
      </c>
      <c r="O48" s="28" t="n">
        <f aca="false">J48*'County Plans'!$B$9</f>
        <v>589147</v>
      </c>
    </row>
    <row r="49" customFormat="false" ht="15" hidden="false" customHeight="false" outlineLevel="0" collapsed="false">
      <c r="A49" s="17" t="s">
        <v>282</v>
      </c>
      <c r="B49" s="27" t="n">
        <v>9</v>
      </c>
      <c r="C49" s="27" t="s">
        <v>298</v>
      </c>
      <c r="D49" s="27" t="s">
        <v>299</v>
      </c>
      <c r="E49" s="18" t="n">
        <v>482</v>
      </c>
      <c r="F49" s="29" t="n">
        <f aca="false">E49/'County Plans'!$G$29</f>
        <v>0.0146580299850987</v>
      </c>
      <c r="G49" s="20" t="n">
        <f aca="false">E49*'County Plans'!$B$15</f>
        <v>120.5</v>
      </c>
      <c r="H49" s="30" t="n">
        <f aca="false">G49*'County Plans'!$B$16/1000</f>
        <v>33.1375</v>
      </c>
      <c r="I49" s="30" t="n">
        <f aca="false">G49*'County Plans'!$B$17/1000</f>
        <v>66.275</v>
      </c>
      <c r="J49" s="20" t="n">
        <f aca="false">ROUNDUP(H49/'County Plans'!$B$21,0)</f>
        <v>1</v>
      </c>
      <c r="K49" s="20" t="n">
        <f aca="false">ROUNDUP(I49/'County Plans'!$B$21,0)</f>
        <v>1</v>
      </c>
      <c r="L49" s="28" t="n">
        <f aca="false">J49*'County Plans'!$B$6</f>
        <v>10000</v>
      </c>
      <c r="M49" s="28" t="n">
        <f aca="false">J49*'County Plans'!$B$7</f>
        <v>58333</v>
      </c>
      <c r="N49" s="28" t="n">
        <f aca="false">J49*'County Plans'!$B$8</f>
        <v>104643.75</v>
      </c>
      <c r="O49" s="28" t="n">
        <f aca="false">J49*'County Plans'!$B$9</f>
        <v>589147</v>
      </c>
    </row>
    <row r="50" customFormat="false" ht="15" hidden="false" customHeight="false" outlineLevel="0" collapsed="false">
      <c r="A50" s="17" t="s">
        <v>282</v>
      </c>
      <c r="B50" s="27" t="n">
        <v>10</v>
      </c>
      <c r="C50" s="27" t="s">
        <v>300</v>
      </c>
      <c r="D50" s="27" t="s">
        <v>294</v>
      </c>
      <c r="E50" s="18" t="n">
        <v>479</v>
      </c>
      <c r="F50" s="29" t="n">
        <f aca="false">E50/'County Plans'!$G$29</f>
        <v>0.0145667974333242</v>
      </c>
      <c r="G50" s="20" t="n">
        <f aca="false">E50*'County Plans'!$B$15</f>
        <v>119.75</v>
      </c>
      <c r="H50" s="30" t="n">
        <f aca="false">G50*'County Plans'!$B$16/1000</f>
        <v>32.93125</v>
      </c>
      <c r="I50" s="30" t="n">
        <f aca="false">G50*'County Plans'!$B$17/1000</f>
        <v>65.8625</v>
      </c>
      <c r="J50" s="20" t="n">
        <f aca="false">ROUNDUP(H50/'County Plans'!$B$21,0)</f>
        <v>1</v>
      </c>
      <c r="K50" s="20" t="n">
        <f aca="false">ROUNDUP(I50/'County Plans'!$B$21,0)</f>
        <v>1</v>
      </c>
      <c r="L50" s="28" t="n">
        <f aca="false">J50*'County Plans'!$B$6</f>
        <v>10000</v>
      </c>
      <c r="M50" s="28" t="n">
        <f aca="false">J50*'County Plans'!$B$7</f>
        <v>58333</v>
      </c>
      <c r="N50" s="28" t="n">
        <f aca="false">J50*'County Plans'!$B$8</f>
        <v>104643.75</v>
      </c>
      <c r="O50" s="28" t="n">
        <f aca="false">J50*'County Plans'!$B$9</f>
        <v>589147</v>
      </c>
    </row>
    <row r="51" customFormat="false" ht="15" hidden="false" customHeight="false" outlineLevel="0" collapsed="false">
      <c r="A51" s="31" t="s">
        <v>301</v>
      </c>
      <c r="B51" s="32"/>
      <c r="C51" s="32"/>
      <c r="D51" s="32"/>
      <c r="E51" s="33" t="n">
        <f aca="false">SUM(E41:E50)</f>
        <v>5945</v>
      </c>
      <c r="F51" s="34" t="n">
        <f aca="false">SUM(F41:F50)</f>
        <v>0.180792506766414</v>
      </c>
      <c r="G51" s="33" t="n">
        <f aca="false">SUM(G41:G50)</f>
        <v>1486.25</v>
      </c>
      <c r="H51" s="35" t="n">
        <f aca="false">SUM(H41:H50)</f>
        <v>408.71875</v>
      </c>
      <c r="I51" s="35" t="n">
        <f aca="false">SUM(I41:I50)</f>
        <v>817.4375</v>
      </c>
      <c r="J51" s="33" t="n">
        <f aca="false">SUM(J41:J50)</f>
        <v>10</v>
      </c>
      <c r="K51" s="33" t="n">
        <f aca="false">SUM(K41:K50)</f>
        <v>12</v>
      </c>
      <c r="L51" s="36" t="n">
        <f aca="false">SUM(L41:L50)</f>
        <v>100000</v>
      </c>
      <c r="M51" s="36" t="n">
        <f aca="false">SUM(M41:M50)</f>
        <v>583330</v>
      </c>
      <c r="N51" s="36" t="n">
        <f aca="false">SUM(N41:N50)</f>
        <v>1046437.5</v>
      </c>
      <c r="O51" s="36" t="n">
        <f aca="false">SUM(O41:O50)</f>
        <v>5891470</v>
      </c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customFormat="false" ht="15" hidden="false" customHeight="false" outlineLevel="0" collapsed="false">
      <c r="A53" s="17" t="s">
        <v>302</v>
      </c>
      <c r="B53" s="27" t="n">
        <v>1</v>
      </c>
      <c r="C53" s="27" t="s">
        <v>303</v>
      </c>
      <c r="D53" s="27" t="s">
        <v>304</v>
      </c>
      <c r="E53" s="18" t="n">
        <v>909</v>
      </c>
      <c r="F53" s="29" t="n">
        <f aca="false">E53/'County Plans'!$G$30</f>
        <v>0.0389360061680802</v>
      </c>
      <c r="G53" s="20" t="n">
        <f aca="false">E53*'County Plans'!$B$15</f>
        <v>227.25</v>
      </c>
      <c r="H53" s="30" t="n">
        <f aca="false">G53*'County Plans'!$B$16/1000</f>
        <v>62.49375</v>
      </c>
      <c r="I53" s="30" t="n">
        <f aca="false">G53*'County Plans'!$B$17/1000</f>
        <v>124.9875</v>
      </c>
      <c r="J53" s="20" t="n">
        <f aca="false">ROUNDUP(H53/'County Plans'!$B$21,0)</f>
        <v>1</v>
      </c>
      <c r="K53" s="20" t="n">
        <f aca="false">ROUNDUP(I53/'County Plans'!$B$21,0)</f>
        <v>2</v>
      </c>
      <c r="L53" s="28" t="n">
        <f aca="false">J53*'County Plans'!$B$6</f>
        <v>10000</v>
      </c>
      <c r="M53" s="28" t="n">
        <f aca="false">J53*'County Plans'!$B$7</f>
        <v>58333</v>
      </c>
      <c r="N53" s="28" t="n">
        <f aca="false">J53*'County Plans'!$B$8</f>
        <v>104643.75</v>
      </c>
      <c r="O53" s="28" t="n">
        <f aca="false">J53*'County Plans'!$B$9</f>
        <v>589147</v>
      </c>
    </row>
    <row r="54" customFormat="false" ht="15" hidden="false" customHeight="false" outlineLevel="0" collapsed="false">
      <c r="A54" s="17" t="s">
        <v>302</v>
      </c>
      <c r="B54" s="27" t="n">
        <v>2</v>
      </c>
      <c r="C54" s="27" t="s">
        <v>305</v>
      </c>
      <c r="D54" s="27" t="s">
        <v>306</v>
      </c>
      <c r="E54" s="18" t="n">
        <v>748</v>
      </c>
      <c r="F54" s="29" t="n">
        <f aca="false">E54/'County Plans'!$G$30</f>
        <v>0.0320397498500814</v>
      </c>
      <c r="G54" s="20" t="n">
        <f aca="false">E54*'County Plans'!$B$15</f>
        <v>187</v>
      </c>
      <c r="H54" s="30" t="n">
        <f aca="false">G54*'County Plans'!$B$16/1000</f>
        <v>51.425</v>
      </c>
      <c r="I54" s="30" t="n">
        <f aca="false">G54*'County Plans'!$B$17/1000</f>
        <v>102.85</v>
      </c>
      <c r="J54" s="20" t="n">
        <f aca="false">ROUNDUP(H54/'County Plans'!$B$21,0)</f>
        <v>1</v>
      </c>
      <c r="K54" s="20" t="n">
        <f aca="false">ROUNDUP(I54/'County Plans'!$B$21,0)</f>
        <v>2</v>
      </c>
      <c r="L54" s="28" t="n">
        <f aca="false">J54*'County Plans'!$B$6</f>
        <v>10000</v>
      </c>
      <c r="M54" s="28" t="n">
        <f aca="false">J54*'County Plans'!$B$7</f>
        <v>58333</v>
      </c>
      <c r="N54" s="28" t="n">
        <f aca="false">J54*'County Plans'!$B$8</f>
        <v>104643.75</v>
      </c>
      <c r="O54" s="28" t="n">
        <f aca="false">J54*'County Plans'!$B$9</f>
        <v>589147</v>
      </c>
    </row>
    <row r="55" customFormat="false" ht="15" hidden="false" customHeight="false" outlineLevel="0" collapsed="false">
      <c r="A55" s="17" t="s">
        <v>302</v>
      </c>
      <c r="B55" s="27" t="n">
        <v>3</v>
      </c>
      <c r="C55" s="27" t="s">
        <v>307</v>
      </c>
      <c r="D55" s="27" t="s">
        <v>306</v>
      </c>
      <c r="E55" s="18" t="n">
        <v>739</v>
      </c>
      <c r="F55" s="29" t="n">
        <f aca="false">E55/'County Plans'!$G$30</f>
        <v>0.0316542448385162</v>
      </c>
      <c r="G55" s="20" t="n">
        <f aca="false">E55*'County Plans'!$B$15</f>
        <v>184.75</v>
      </c>
      <c r="H55" s="30" t="n">
        <f aca="false">G55*'County Plans'!$B$16/1000</f>
        <v>50.80625</v>
      </c>
      <c r="I55" s="30" t="n">
        <f aca="false">G55*'County Plans'!$B$17/1000</f>
        <v>101.6125</v>
      </c>
      <c r="J55" s="20" t="n">
        <f aca="false">ROUNDUP(H55/'County Plans'!$B$21,0)</f>
        <v>1</v>
      </c>
      <c r="K55" s="20" t="n">
        <f aca="false">ROUNDUP(I55/'County Plans'!$B$21,0)</f>
        <v>2</v>
      </c>
      <c r="L55" s="28" t="n">
        <f aca="false">J55*'County Plans'!$B$6</f>
        <v>10000</v>
      </c>
      <c r="M55" s="28" t="n">
        <f aca="false">J55*'County Plans'!$B$7</f>
        <v>58333</v>
      </c>
      <c r="N55" s="28" t="n">
        <f aca="false">J55*'County Plans'!$B$8</f>
        <v>104643.75</v>
      </c>
      <c r="O55" s="28" t="n">
        <f aca="false">J55*'County Plans'!$B$9</f>
        <v>589147</v>
      </c>
    </row>
    <row r="56" customFormat="false" ht="15" hidden="false" customHeight="false" outlineLevel="0" collapsed="false">
      <c r="A56" s="17" t="s">
        <v>302</v>
      </c>
      <c r="B56" s="27" t="n">
        <v>4</v>
      </c>
      <c r="C56" s="27" t="s">
        <v>308</v>
      </c>
      <c r="D56" s="27" t="s">
        <v>306</v>
      </c>
      <c r="E56" s="18" t="n">
        <v>665</v>
      </c>
      <c r="F56" s="29" t="n">
        <f aca="false">E56/'County Plans'!$G$30</f>
        <v>0.0284845369656472</v>
      </c>
      <c r="G56" s="20" t="n">
        <f aca="false">E56*'County Plans'!$B$15</f>
        <v>166.25</v>
      </c>
      <c r="H56" s="30" t="n">
        <f aca="false">G56*'County Plans'!$B$16/1000</f>
        <v>45.71875</v>
      </c>
      <c r="I56" s="30" t="n">
        <f aca="false">G56*'County Plans'!$B$17/1000</f>
        <v>91.4375</v>
      </c>
      <c r="J56" s="20" t="n">
        <f aca="false">ROUNDUP(H56/'County Plans'!$B$21,0)</f>
        <v>1</v>
      </c>
      <c r="K56" s="20" t="n">
        <f aca="false">ROUNDUP(I56/'County Plans'!$B$21,0)</f>
        <v>1</v>
      </c>
      <c r="L56" s="28" t="n">
        <f aca="false">J56*'County Plans'!$B$6</f>
        <v>10000</v>
      </c>
      <c r="M56" s="28" t="n">
        <f aca="false">J56*'County Plans'!$B$7</f>
        <v>58333</v>
      </c>
      <c r="N56" s="28" t="n">
        <f aca="false">J56*'County Plans'!$B$8</f>
        <v>104643.75</v>
      </c>
      <c r="O56" s="28" t="n">
        <f aca="false">J56*'County Plans'!$B$9</f>
        <v>589147</v>
      </c>
    </row>
    <row r="57" customFormat="false" ht="15" hidden="false" customHeight="false" outlineLevel="0" collapsed="false">
      <c r="A57" s="17" t="s">
        <v>302</v>
      </c>
      <c r="B57" s="27" t="n">
        <v>5</v>
      </c>
      <c r="C57" s="27" t="s">
        <v>309</v>
      </c>
      <c r="D57" s="27" t="s">
        <v>306</v>
      </c>
      <c r="E57" s="18" t="n">
        <v>623</v>
      </c>
      <c r="F57" s="29" t="n">
        <f aca="false">E57/'County Plans'!$G$30</f>
        <v>0.0266855135783432</v>
      </c>
      <c r="G57" s="20" t="n">
        <f aca="false">E57*'County Plans'!$B$15</f>
        <v>155.75</v>
      </c>
      <c r="H57" s="30" t="n">
        <f aca="false">G57*'County Plans'!$B$16/1000</f>
        <v>42.83125</v>
      </c>
      <c r="I57" s="30" t="n">
        <f aca="false">G57*'County Plans'!$B$17/1000</f>
        <v>85.6625</v>
      </c>
      <c r="J57" s="20" t="n">
        <f aca="false">ROUNDUP(H57/'County Plans'!$B$21,0)</f>
        <v>1</v>
      </c>
      <c r="K57" s="20" t="n">
        <f aca="false">ROUNDUP(I57/'County Plans'!$B$21,0)</f>
        <v>1</v>
      </c>
      <c r="L57" s="28" t="n">
        <f aca="false">J57*'County Plans'!$B$6</f>
        <v>10000</v>
      </c>
      <c r="M57" s="28" t="n">
        <f aca="false">J57*'County Plans'!$B$7</f>
        <v>58333</v>
      </c>
      <c r="N57" s="28" t="n">
        <f aca="false">J57*'County Plans'!$B$8</f>
        <v>104643.75</v>
      </c>
      <c r="O57" s="28" t="n">
        <f aca="false">J57*'County Plans'!$B$9</f>
        <v>589147</v>
      </c>
    </row>
    <row r="58" customFormat="false" ht="15" hidden="false" customHeight="false" outlineLevel="0" collapsed="false">
      <c r="A58" s="17" t="s">
        <v>302</v>
      </c>
      <c r="B58" s="27" t="n">
        <v>6</v>
      </c>
      <c r="C58" s="27" t="s">
        <v>310</v>
      </c>
      <c r="D58" s="27" t="s">
        <v>306</v>
      </c>
      <c r="E58" s="18" t="n">
        <v>582</v>
      </c>
      <c r="F58" s="29" t="n">
        <f aca="false">E58/'County Plans'!$G$30</f>
        <v>0.0249293240812131</v>
      </c>
      <c r="G58" s="20" t="n">
        <f aca="false">E58*'County Plans'!$B$15</f>
        <v>145.5</v>
      </c>
      <c r="H58" s="30" t="n">
        <f aca="false">G58*'County Plans'!$B$16/1000</f>
        <v>40.0125</v>
      </c>
      <c r="I58" s="30" t="n">
        <f aca="false">G58*'County Plans'!$B$17/1000</f>
        <v>80.025</v>
      </c>
      <c r="J58" s="20" t="n">
        <f aca="false">ROUNDUP(H58/'County Plans'!$B$21,0)</f>
        <v>1</v>
      </c>
      <c r="K58" s="20" t="n">
        <f aca="false">ROUNDUP(I58/'County Plans'!$B$21,0)</f>
        <v>1</v>
      </c>
      <c r="L58" s="28" t="n">
        <f aca="false">J58*'County Plans'!$B$6</f>
        <v>10000</v>
      </c>
      <c r="M58" s="28" t="n">
        <f aca="false">J58*'County Plans'!$B$7</f>
        <v>58333</v>
      </c>
      <c r="N58" s="28" t="n">
        <f aca="false">J58*'County Plans'!$B$8</f>
        <v>104643.75</v>
      </c>
      <c r="O58" s="28" t="n">
        <f aca="false">J58*'County Plans'!$B$9</f>
        <v>589147</v>
      </c>
    </row>
    <row r="59" customFormat="false" ht="15" hidden="false" customHeight="false" outlineLevel="0" collapsed="false">
      <c r="A59" s="17" t="s">
        <v>302</v>
      </c>
      <c r="B59" s="27" t="n">
        <v>7</v>
      </c>
      <c r="C59" s="27" t="s">
        <v>311</v>
      </c>
      <c r="D59" s="27" t="s">
        <v>306</v>
      </c>
      <c r="E59" s="18" t="n">
        <v>569</v>
      </c>
      <c r="F59" s="29" t="n">
        <f aca="false">E59/'County Plans'!$G$30</f>
        <v>0.0243724835089523</v>
      </c>
      <c r="G59" s="20" t="n">
        <f aca="false">E59*'County Plans'!$B$15</f>
        <v>142.25</v>
      </c>
      <c r="H59" s="30" t="n">
        <f aca="false">G59*'County Plans'!$B$16/1000</f>
        <v>39.11875</v>
      </c>
      <c r="I59" s="30" t="n">
        <f aca="false">G59*'County Plans'!$B$17/1000</f>
        <v>78.2375</v>
      </c>
      <c r="J59" s="20" t="n">
        <f aca="false">ROUNDUP(H59/'County Plans'!$B$21,0)</f>
        <v>1</v>
      </c>
      <c r="K59" s="20" t="n">
        <f aca="false">ROUNDUP(I59/'County Plans'!$B$21,0)</f>
        <v>1</v>
      </c>
      <c r="L59" s="28" t="n">
        <f aca="false">J59*'County Plans'!$B$6</f>
        <v>10000</v>
      </c>
      <c r="M59" s="28" t="n">
        <f aca="false">J59*'County Plans'!$B$7</f>
        <v>58333</v>
      </c>
      <c r="N59" s="28" t="n">
        <f aca="false">J59*'County Plans'!$B$8</f>
        <v>104643.75</v>
      </c>
      <c r="O59" s="28" t="n">
        <f aca="false">J59*'County Plans'!$B$9</f>
        <v>589147</v>
      </c>
    </row>
    <row r="60" customFormat="false" ht="15" hidden="false" customHeight="false" outlineLevel="0" collapsed="false">
      <c r="A60" s="17" t="s">
        <v>302</v>
      </c>
      <c r="B60" s="27" t="n">
        <v>8</v>
      </c>
      <c r="C60" s="27" t="s">
        <v>312</v>
      </c>
      <c r="D60" s="27" t="s">
        <v>304</v>
      </c>
      <c r="E60" s="18" t="n">
        <v>562</v>
      </c>
      <c r="F60" s="29" t="n">
        <f aca="false">E60/'County Plans'!$G$30</f>
        <v>0.0240726462777349</v>
      </c>
      <c r="G60" s="20" t="n">
        <f aca="false">E60*'County Plans'!$B$15</f>
        <v>140.5</v>
      </c>
      <c r="H60" s="30" t="n">
        <f aca="false">G60*'County Plans'!$B$16/1000</f>
        <v>38.6375</v>
      </c>
      <c r="I60" s="30" t="n">
        <f aca="false">G60*'County Plans'!$B$17/1000</f>
        <v>77.275</v>
      </c>
      <c r="J60" s="20" t="n">
        <f aca="false">ROUNDUP(H60/'County Plans'!$B$21,0)</f>
        <v>1</v>
      </c>
      <c r="K60" s="20" t="n">
        <f aca="false">ROUNDUP(I60/'County Plans'!$B$21,0)</f>
        <v>1</v>
      </c>
      <c r="L60" s="28" t="n">
        <f aca="false">J60*'County Plans'!$B$6</f>
        <v>10000</v>
      </c>
      <c r="M60" s="28" t="n">
        <f aca="false">J60*'County Plans'!$B$7</f>
        <v>58333</v>
      </c>
      <c r="N60" s="28" t="n">
        <f aca="false">J60*'County Plans'!$B$8</f>
        <v>104643.75</v>
      </c>
      <c r="O60" s="28" t="n">
        <f aca="false">J60*'County Plans'!$B$9</f>
        <v>589147</v>
      </c>
    </row>
    <row r="61" customFormat="false" ht="15" hidden="false" customHeight="false" outlineLevel="0" collapsed="false">
      <c r="A61" s="17" t="s">
        <v>302</v>
      </c>
      <c r="B61" s="27" t="n">
        <v>9</v>
      </c>
      <c r="C61" s="27" t="s">
        <v>313</v>
      </c>
      <c r="D61" s="27" t="s">
        <v>306</v>
      </c>
      <c r="E61" s="18" t="n">
        <v>550</v>
      </c>
      <c r="F61" s="29" t="n">
        <f aca="false">E61/'County Plans'!$G$30</f>
        <v>0.0235586395956481</v>
      </c>
      <c r="G61" s="20" t="n">
        <f aca="false">E61*'County Plans'!$B$15</f>
        <v>137.5</v>
      </c>
      <c r="H61" s="30" t="n">
        <f aca="false">G61*'County Plans'!$B$16/1000</f>
        <v>37.8125</v>
      </c>
      <c r="I61" s="30" t="n">
        <f aca="false">G61*'County Plans'!$B$17/1000</f>
        <v>75.625</v>
      </c>
      <c r="J61" s="20" t="n">
        <f aca="false">ROUNDUP(H61/'County Plans'!$B$21,0)</f>
        <v>1</v>
      </c>
      <c r="K61" s="20" t="n">
        <f aca="false">ROUNDUP(I61/'County Plans'!$B$21,0)</f>
        <v>1</v>
      </c>
      <c r="L61" s="28" t="n">
        <f aca="false">J61*'County Plans'!$B$6</f>
        <v>10000</v>
      </c>
      <c r="M61" s="28" t="n">
        <f aca="false">J61*'County Plans'!$B$7</f>
        <v>58333</v>
      </c>
      <c r="N61" s="28" t="n">
        <f aca="false">J61*'County Plans'!$B$8</f>
        <v>104643.75</v>
      </c>
      <c r="O61" s="28" t="n">
        <f aca="false">J61*'County Plans'!$B$9</f>
        <v>589147</v>
      </c>
    </row>
    <row r="62" customFormat="false" ht="15" hidden="false" customHeight="false" outlineLevel="0" collapsed="false">
      <c r="A62" s="17" t="s">
        <v>302</v>
      </c>
      <c r="B62" s="27" t="n">
        <v>10</v>
      </c>
      <c r="C62" s="27" t="s">
        <v>314</v>
      </c>
      <c r="D62" s="27" t="s">
        <v>306</v>
      </c>
      <c r="E62" s="18" t="n">
        <v>527</v>
      </c>
      <c r="F62" s="29" t="n">
        <f aca="false">E62/'County Plans'!$G$30</f>
        <v>0.0225734601216482</v>
      </c>
      <c r="G62" s="20" t="n">
        <f aca="false">E62*'County Plans'!$B$15</f>
        <v>131.75</v>
      </c>
      <c r="H62" s="30" t="n">
        <f aca="false">G62*'County Plans'!$B$16/1000</f>
        <v>36.23125</v>
      </c>
      <c r="I62" s="30" t="n">
        <f aca="false">G62*'County Plans'!$B$17/1000</f>
        <v>72.4625</v>
      </c>
      <c r="J62" s="20" t="n">
        <f aca="false">ROUNDUP(H62/'County Plans'!$B$21,0)</f>
        <v>1</v>
      </c>
      <c r="K62" s="20" t="n">
        <f aca="false">ROUNDUP(I62/'County Plans'!$B$21,0)</f>
        <v>1</v>
      </c>
      <c r="L62" s="28" t="n">
        <f aca="false">J62*'County Plans'!$B$6</f>
        <v>10000</v>
      </c>
      <c r="M62" s="28" t="n">
        <f aca="false">J62*'County Plans'!$B$7</f>
        <v>58333</v>
      </c>
      <c r="N62" s="28" t="n">
        <f aca="false">J62*'County Plans'!$B$8</f>
        <v>104643.75</v>
      </c>
      <c r="O62" s="28" t="n">
        <f aca="false">J62*'County Plans'!$B$9</f>
        <v>589147</v>
      </c>
    </row>
    <row r="63" customFormat="false" ht="15" hidden="false" customHeight="false" outlineLevel="0" collapsed="false">
      <c r="A63" s="31" t="s">
        <v>315</v>
      </c>
      <c r="B63" s="32"/>
      <c r="C63" s="32"/>
      <c r="D63" s="32"/>
      <c r="E63" s="33" t="n">
        <f aca="false">SUM(E53:E62)</f>
        <v>6474</v>
      </c>
      <c r="F63" s="34" t="n">
        <f aca="false">SUM(F53:F62)</f>
        <v>0.277306604985865</v>
      </c>
      <c r="G63" s="33" t="n">
        <f aca="false">SUM(G53:G62)</f>
        <v>1618.5</v>
      </c>
      <c r="H63" s="35" t="n">
        <f aca="false">SUM(H53:H62)</f>
        <v>445.0875</v>
      </c>
      <c r="I63" s="35" t="n">
        <f aca="false">SUM(I53:I62)</f>
        <v>890.175</v>
      </c>
      <c r="J63" s="33" t="n">
        <f aca="false">SUM(J53:J62)</f>
        <v>10</v>
      </c>
      <c r="K63" s="33" t="n">
        <f aca="false">SUM(K53:K62)</f>
        <v>13</v>
      </c>
      <c r="L63" s="36" t="n">
        <f aca="false">SUM(L53:L62)</f>
        <v>100000</v>
      </c>
      <c r="M63" s="36" t="n">
        <f aca="false">SUM(M53:M62)</f>
        <v>583330</v>
      </c>
      <c r="N63" s="36" t="n">
        <f aca="false">SUM(N53:N62)</f>
        <v>1046437.5</v>
      </c>
      <c r="O63" s="36" t="n">
        <f aca="false">SUM(O53:O62)</f>
        <v>5891470</v>
      </c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customFormat="false" ht="15" hidden="false" customHeight="false" outlineLevel="0" collapsed="false">
      <c r="A65" s="8" t="s">
        <v>316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customFormat="false" ht="15" hidden="false" customHeight="false" outlineLevel="0" collapsed="false">
      <c r="A66" s="8" t="s">
        <v>317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customFormat="false" ht="15" hidden="false" customHeight="false" outlineLevel="0" collapsed="false">
      <c r="A67" s="8" t="s">
        <v>318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customFormat="false" ht="15" hidden="false" customHeight="false" outlineLevel="0" collapsed="false">
      <c r="A68" s="8" t="s">
        <v>319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2026-10-17T15:54:01Z</dcterms:created>
  <dc:creator>openpyxl</dc:creator>
  <dc:description/>
  <dc:language>en-US</dc:language>
  <cp:lastModifiedBy/>
  <dcterms:modified xsi:type="dcterms:W3CDTF">2026-10-17T15:54:01Z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