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nty Plans" sheetId="1" state="visible" r:id="rId3"/>
    <sheet name="Rural Site Plans" sheetId="2" state="visible" r:id="rId4"/>
    <sheet name="Athens Libraries" sheetId="3" state="visible" r:id="rId5"/>
    <sheet name="Assumptions" sheetId="4" state="visible" r:id="rId6"/>
    <sheet name="Outages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<sst xmlns="http://schemas.openxmlformats.org/spreadsheetml/2006/main" count="328" uniqueCount="267">
  <si>
    <t xml:space="preserve">GridAid county plans: 5 urban and 5 rural counties</t>
  </si>
  <si>
    <t xml:space="preserve">Blue = data or site-picker results. Black = formulas. Green = linked from another sheet. Budgets update when you change the Assumptions sheet.</t>
  </si>
  <si>
    <t xml:space="preserve">County</t>
  </si>
  <si>
    <t xml:space="preserve">State</t>
  </si>
  <si>
    <t xml:space="preserve">FIPS</t>
  </si>
  <si>
    <t xml:space="preserve">Type</t>
  </si>
  <si>
    <t xml:space="preserve">Population (2020)</t>
  </si>
  <si>
    <t xml:space="preserve">Land area (sq mi)</t>
  </si>
  <si>
    <t xml:space="preserve">People per sq mi</t>
  </si>
  <si>
    <t xml:space="preserve">Medicare members</t>
  </si>
  <si>
    <t xml:space="preserve">Rely on powered equipment</t>
  </si>
  <si>
    <t xml:space="preserve">Share of Medicare members</t>
  </si>
  <si>
    <t xml:space="preserve">Home oxygen service</t>
  </si>
  <si>
    <t xml:space="preserve">Dialysis at a center</t>
  </si>
  <si>
    <t xml:space="preserve">Home health</t>
  </si>
  <si>
    <t xml:space="preserve">Hospice at home</t>
  </si>
  <si>
    <t xml:space="preserve">Reach (mi)</t>
  </si>
  <si>
    <t xml:space="preserve">Expected at sites</t>
  </si>
  <si>
    <t xml:space="preserve">Power needed, low (kW)</t>
  </si>
  <si>
    <t xml:space="preserve">Power needed, high (kW)</t>
  </si>
  <si>
    <t xml:space="preserve">Sites from map (rural)</t>
  </si>
  <si>
    <t xml:space="preserve">Sites for full map coverage (rural)</t>
  </si>
  <si>
    <t xml:space="preserve">Recommended sites</t>
  </si>
  <si>
    <t xml:space="preserve">Sites, high estimate</t>
  </si>
  <si>
    <t xml:space="preserve">Budget, low ($)</t>
  </si>
  <si>
    <t xml:space="preserve">Budget, high ($)</t>
  </si>
  <si>
    <t xml:space="preserve">FEMA share, low ($)</t>
  </si>
  <si>
    <t xml:space="preserve">Local share, low ($)</t>
  </si>
  <si>
    <t xml:space="preserve">Local share, high ($)</t>
  </si>
  <si>
    <t xml:space="preserve">Budget per resident, low ($)</t>
  </si>
  <si>
    <t xml:space="preserve">People in ZIP data (rural)</t>
  </si>
  <si>
    <t xml:space="preserve">People reached, recommended sites (rural)</t>
  </si>
  <si>
    <t xml:space="preserve">Coverage, recommended sites</t>
  </si>
  <si>
    <t xml:space="preserve">How sites were counted</t>
  </si>
  <si>
    <t xml:space="preserve">Fast start</t>
  </si>
  <si>
    <t xml:space="preserve">Full setup</t>
  </si>
  <si>
    <t xml:space="preserve">Los Angeles County</t>
  </si>
  <si>
    <t xml:space="preserve">CA</t>
  </si>
  <si>
    <t xml:space="preserve">06037</t>
  </si>
  <si>
    <t xml:space="preserve">Urban</t>
  </si>
  <si>
    <t xml:space="preserve">Power needs: expected people x watts / power per site</t>
  </si>
  <si>
    <t xml:space="preserve">Cook County</t>
  </si>
  <si>
    <t xml:space="preserve">IL</t>
  </si>
  <si>
    <t xml:space="preserve">17031</t>
  </si>
  <si>
    <t xml:space="preserve">Harris County</t>
  </si>
  <si>
    <t xml:space="preserve">TX</t>
  </si>
  <si>
    <t xml:space="preserve">48201</t>
  </si>
  <si>
    <t xml:space="preserve">Maricopa County</t>
  </si>
  <si>
    <t xml:space="preserve">AZ</t>
  </si>
  <si>
    <t xml:space="preserve">04013</t>
  </si>
  <si>
    <t xml:space="preserve">Miami-Dade County</t>
  </si>
  <si>
    <t xml:space="preserve">FL</t>
  </si>
  <si>
    <t xml:space="preserve">12086</t>
  </si>
  <si>
    <t xml:space="preserve">Athens County</t>
  </si>
  <si>
    <t xml:space="preserve">OH</t>
  </si>
  <si>
    <t xml:space="preserve">39009</t>
  </si>
  <si>
    <t xml:space="preserve">Rural</t>
  </si>
  <si>
    <t xml:space="preserve">Site picker on 7 real library branches, 10 mi. Full coverage adds a site near Amesville.</t>
  </si>
  <si>
    <t xml:space="preserve">Harlan County</t>
  </si>
  <si>
    <t xml:space="preserve">KY</t>
  </si>
  <si>
    <t xml:space="preserve">21095</t>
  </si>
  <si>
    <t xml:space="preserve">Site picker on ZIP code centers (town centers), 10 mi</t>
  </si>
  <si>
    <t xml:space="preserve">Coos County</t>
  </si>
  <si>
    <t xml:space="preserve">NH</t>
  </si>
  <si>
    <t xml:space="preserve">33007</t>
  </si>
  <si>
    <t xml:space="preserve">Big Horn County</t>
  </si>
  <si>
    <t xml:space="preserve">MT</t>
  </si>
  <si>
    <t xml:space="preserve">30003</t>
  </si>
  <si>
    <t xml:space="preserve">Sunflower County</t>
  </si>
  <si>
    <t xml:space="preserve">MS</t>
  </si>
  <si>
    <t xml:space="preserve">28133</t>
  </si>
  <si>
    <t xml:space="preserve">Urban total</t>
  </si>
  <si>
    <t xml:space="preserve">Rural total</t>
  </si>
  <si>
    <t xml:space="preserve">How to read this sheet</t>
  </si>
  <si>
    <t xml:space="preserve">Recommended sites: rural = the larger of (sites needed to reach at least 90% of people in the ZIP data, from the site picker) and (sites needed for power). Urban = sites needed for power at the low wattage.</t>
  </si>
  <si>
    <t xml:space="preserve">Sites, high estimate: rural = sites to reach everyone in the ZIP data. Urban = sites needed at the high wattage.</t>
  </si>
  <si>
    <t xml:space="preserve">Budget = sites x cost per site (Assumptions). FEMA share uses the 75% split from one state program; actual shares vary.</t>
  </si>
  <si>
    <t xml:space="preserve">People counts are Medicare members only (HHS emPOWER, county layer, updated August 2026). ZIP data hides counts of 1 to 10 as 11, so ZIP totals can differ from county totals.</t>
  </si>
  <si>
    <t xml:space="preserve">Urban coverage is not computed here: big counties have hundreds of ZIP codes and need the full app. Urban site counts are driven by power and room, not distance.</t>
  </si>
  <si>
    <t xml:space="preserve">Costs are planning estimates, not quotes. Regional price differences are not included.</t>
  </si>
  <si>
    <t xml:space="preserve">Rural site plans from the site picker</t>
  </si>
  <si>
    <t xml:space="preserve">Each row adds the site that reaches the most people not yet covered (10 mile straight-line reach). Best possible = every combination checked, up to 6 sites.</t>
  </si>
  <si>
    <t xml:space="preserve">Site #</t>
  </si>
  <si>
    <t xml:space="preserve">Site</t>
  </si>
  <si>
    <t xml:space="preserve">ZIP</t>
  </si>
  <si>
    <t xml:space="preserve">New people reached</t>
  </si>
  <si>
    <t xml:space="preserve">Total reached</t>
  </si>
  <si>
    <t xml:space="preserve">People in ZIP data</t>
  </si>
  <si>
    <t xml:space="preserve">Share reached</t>
  </si>
  <si>
    <t xml:space="preserve">Best possible with this many</t>
  </si>
  <si>
    <t xml:space="preserve">Site picker vs best</t>
  </si>
  <si>
    <t xml:space="preserve">Athens County, OH</t>
  </si>
  <si>
    <t xml:space="preserve">Chauncey Public Library</t>
  </si>
  <si>
    <t xml:space="preserve">45719</t>
  </si>
  <si>
    <t xml:space="preserve">Coolville Public Library</t>
  </si>
  <si>
    <t xml:space="preserve">45723</t>
  </si>
  <si>
    <t xml:space="preserve">Wells (Albany) Public Library</t>
  </si>
  <si>
    <t xml:space="preserve">45710</t>
  </si>
  <si>
    <t xml:space="preserve">Harlan County, KY</t>
  </si>
  <si>
    <t xml:space="preserve">Public building near Coalgood</t>
  </si>
  <si>
    <t xml:space="preserve">40818</t>
  </si>
  <si>
    <t xml:space="preserve">Public building near Lynch</t>
  </si>
  <si>
    <t xml:space="preserve">40855</t>
  </si>
  <si>
    <t xml:space="preserve">Public building near Coldiron</t>
  </si>
  <si>
    <t xml:space="preserve">40819</t>
  </si>
  <si>
    <t xml:space="preserve">Public building near Big Laurel</t>
  </si>
  <si>
    <t xml:space="preserve">40808</t>
  </si>
  <si>
    <t xml:space="preserve">Coos County, NH</t>
  </si>
  <si>
    <t xml:space="preserve">Public building near Berlin</t>
  </si>
  <si>
    <t xml:space="preserve">03570</t>
  </si>
  <si>
    <t xml:space="preserve">Public building near Lancaster</t>
  </si>
  <si>
    <t xml:space="preserve">03584</t>
  </si>
  <si>
    <t xml:space="preserve">Public building near Colebrook</t>
  </si>
  <si>
    <t xml:space="preserve">03576</t>
  </si>
  <si>
    <t xml:space="preserve">Public building near Twin Mountain</t>
  </si>
  <si>
    <t xml:space="preserve">03595</t>
  </si>
  <si>
    <t xml:space="preserve">Public building near Pittsburg</t>
  </si>
  <si>
    <t xml:space="preserve">03592</t>
  </si>
  <si>
    <t xml:space="preserve">Public building near Groveton</t>
  </si>
  <si>
    <t xml:space="preserve">03582</t>
  </si>
  <si>
    <t xml:space="preserve">Public building near Errol</t>
  </si>
  <si>
    <t xml:space="preserve">03579</t>
  </si>
  <si>
    <t xml:space="preserve">Not checked</t>
  </si>
  <si>
    <t xml:space="preserve">Public building near Jackson</t>
  </si>
  <si>
    <t xml:space="preserve">03846</t>
  </si>
  <si>
    <t xml:space="preserve">Big Horn County, MT</t>
  </si>
  <si>
    <t xml:space="preserve">Public building near Hardin</t>
  </si>
  <si>
    <t xml:space="preserve">59034</t>
  </si>
  <si>
    <t xml:space="preserve">Public building near Crow Agency</t>
  </si>
  <si>
    <t xml:space="preserve">59022</t>
  </si>
  <si>
    <t xml:space="preserve">Public building near Lodge Grass</t>
  </si>
  <si>
    <t xml:space="preserve">59050</t>
  </si>
  <si>
    <t xml:space="preserve">Public building near Busby</t>
  </si>
  <si>
    <t xml:space="preserve">59016</t>
  </si>
  <si>
    <t xml:space="preserve">Public building near Pryor</t>
  </si>
  <si>
    <t xml:space="preserve">59066</t>
  </si>
  <si>
    <t xml:space="preserve">Public building near Garryowen</t>
  </si>
  <si>
    <t xml:space="preserve">59031</t>
  </si>
  <si>
    <t xml:space="preserve">Public building near Fort Smith</t>
  </si>
  <si>
    <t xml:space="preserve">59035</t>
  </si>
  <si>
    <t xml:space="preserve">Public building near Saint Xavier</t>
  </si>
  <si>
    <t xml:space="preserve">59075</t>
  </si>
  <si>
    <t xml:space="preserve">Public building near Wyola</t>
  </si>
  <si>
    <t xml:space="preserve">59089</t>
  </si>
  <si>
    <t xml:space="preserve">Public building near Decker</t>
  </si>
  <si>
    <t xml:space="preserve">59025</t>
  </si>
  <si>
    <t xml:space="preserve">Sunflower County, MS</t>
  </si>
  <si>
    <t xml:space="preserve">Public building near Sunflower</t>
  </si>
  <si>
    <t xml:space="preserve">38778</t>
  </si>
  <si>
    <t xml:space="preserve">Public building near Doddsville</t>
  </si>
  <si>
    <t xml:space="preserve">38736</t>
  </si>
  <si>
    <t xml:space="preserve">Public building near Drew</t>
  </si>
  <si>
    <t xml:space="preserve">38737</t>
  </si>
  <si>
    <t xml:space="preserve">Public building near Inverness</t>
  </si>
  <si>
    <t xml:space="preserve">38753</t>
  </si>
  <si>
    <t xml:space="preserve">Sites for Harlan, Coos, Big Horn and Sunflower are town centers (ZIP code centers), not specific buildings yet. Athens uses real library branches placed at their ZIP center.</t>
  </si>
  <si>
    <t xml:space="preserve">Athens County library branches (candidate sites)</t>
  </si>
  <si>
    <t xml:space="preserve">Branch</t>
  </si>
  <si>
    <t xml:space="preserve">Town</t>
  </si>
  <si>
    <t xml:space="preserve">Recommended</t>
  </si>
  <si>
    <t xml:space="preserve">Note</t>
  </si>
  <si>
    <t xml:space="preserve">Athens Public Library</t>
  </si>
  <si>
    <t xml:space="preserve">Athens</t>
  </si>
  <si>
    <t xml:space="preserve">45701</t>
  </si>
  <si>
    <t xml:space="preserve">No</t>
  </si>
  <si>
    <t xml:space="preserve">Reaches no one new after the top 3, but could share the load</t>
  </si>
  <si>
    <t xml:space="preserve">Chauncey</t>
  </si>
  <si>
    <t xml:space="preserve">Yes, site 1</t>
  </si>
  <si>
    <t xml:space="preserve">Reaches 597 people; check room for about 149 at once</t>
  </si>
  <si>
    <t xml:space="preserve">Coolville</t>
  </si>
  <si>
    <t xml:space="preserve">Yes, site 2</t>
  </si>
  <si>
    <t xml:space="preserve">Adds 107 people</t>
  </si>
  <si>
    <t xml:space="preserve">Glouster Public Library</t>
  </si>
  <si>
    <t xml:space="preserve">Glouster</t>
  </si>
  <si>
    <t xml:space="preserve">45732</t>
  </si>
  <si>
    <t xml:space="preserve">Nelsonville Public Library</t>
  </si>
  <si>
    <t xml:space="preserve">Nelsonville</t>
  </si>
  <si>
    <t xml:space="preserve">45764</t>
  </si>
  <si>
    <t xml:space="preserve">The Plains Public Library</t>
  </si>
  <si>
    <t xml:space="preserve">The Plains</t>
  </si>
  <si>
    <t xml:space="preserve">45780</t>
  </si>
  <si>
    <t xml:space="preserve">Could share the load with site 1</t>
  </si>
  <si>
    <t xml:space="preserve">Albany</t>
  </si>
  <si>
    <t xml:space="preserve">Yes, site 3</t>
  </si>
  <si>
    <t xml:space="preserve">Adds 101 people</t>
  </si>
  <si>
    <t xml:space="preserve">Source: Athens County Public Libraries (myacpl.org). Not reached by any library within 10 miles: Amesville (ZIP 45711), 24 people.</t>
  </si>
  <si>
    <t xml:space="preserve">GridAid planning assumptions</t>
  </si>
  <si>
    <t xml:space="preserve">Blue cells are inputs. Yellow cells are placeholders the county should set. Every formula in the workbook uses these cells.</t>
  </si>
  <si>
    <t xml:space="preserve">Assumption</t>
  </si>
  <si>
    <t xml:space="preserve">Value</t>
  </si>
  <si>
    <t xml:space="preserve">Source or note</t>
  </si>
  <si>
    <t xml:space="preserve">Cost per site, permanent generator ($)</t>
  </si>
  <si>
    <t xml:space="preserve">NC Department of Public Safety, June 18, 2019: more than $1.4 million for 24 generators (22 to 500 kW) at public facilities. $1,400,000 / 24 = $58,333. 2019 dollars, an average, not a quote.</t>
  </si>
  <si>
    <t xml:space="preserve">FEMA share of cost</t>
  </si>
  <si>
    <t xml:space="preserve">FEMA Hazard Mitigation Grant Program share in the same NC program (state paid 25%). Varies by program and state.</t>
  </si>
  <si>
    <t xml:space="preserve">Expected turnout at sites</t>
  </si>
  <si>
    <t xml:space="preserve">PLACEHOLDER, not sourced. Share of people within reach who would come to a site during a long outage. The county should set this.</t>
  </si>
  <si>
    <t xml:space="preserve">Power per person, low (watts)</t>
  </si>
  <si>
    <t xml:space="preserve">Inogen At Home oxygen concentrator at 5 liters per minute (Inogen energy calculator).</t>
  </si>
  <si>
    <t xml:space="preserve">Power per person, high (watts)</t>
  </si>
  <si>
    <t xml:space="preserve">Derived: Inogen says many concentrators use more than twice 275 W.</t>
  </si>
  <si>
    <t xml:space="preserve">Power per site (kW)</t>
  </si>
  <si>
    <t xml:space="preserve">PLANNING ASSUMPTION, not sourced. Sizes one generator at a typical small public building. NC program sizes ranged 22 to 500 kW.</t>
  </si>
  <si>
    <t xml:space="preserve">Reach, rural (miles)</t>
  </si>
  <si>
    <t xml:space="preserve">Assumption. Straight-line distance used in the rural site picker.</t>
  </si>
  <si>
    <t xml:space="preserve">Reach, urban (miles)</t>
  </si>
  <si>
    <t xml:space="preserve">Assumption. Shorter because people without a car can't travel far. Urban site counts use power needs, not distance.</t>
  </si>
  <si>
    <t xml:space="preserve">Diesel use, 100 kW generator at full load (gal/hr)</t>
  </si>
  <si>
    <t xml:space="preserve">Herc Rentals: How to calculate diesel generator fuel consumption.</t>
  </si>
  <si>
    <t xml:space="preserve">Large whole-school generator, equipment only ($)</t>
  </si>
  <si>
    <t xml:space="preserve">WUFT, Feb 3, 2026: Suwannee County, FL, 1,000 kW generator plus transfer switches for an elementary school shelter. Labor and installation extra.</t>
  </si>
  <si>
    <t xml:space="preserve">Fuel per day, 100 kW at full load (gal)</t>
  </si>
  <si>
    <t xml:space="preserve">Formula: gallons per hour x 24.</t>
  </si>
  <si>
    <t xml:space="preserve">Recent outage for each county</t>
  </si>
  <si>
    <t xml:space="preserve">Date</t>
  </si>
  <si>
    <t xml:space="preserve">What happened</t>
  </si>
  <si>
    <t xml:space="preserve">Source</t>
  </si>
  <si>
    <t xml:space="preserve">Los Angeles County, CA</t>
  </si>
  <si>
    <t xml:space="preserve">Jan 8, 2025</t>
  </si>
  <si>
    <t xml:space="preserve">Wildfires and Santa Ana winds: 40,573 SCE customers in the county under public safety power shutoffs; 123,335 more considered</t>
  </si>
  <si>
    <t xml:space="preserve">https://patch.com/california/los-angeles/140k-lose-electricity-public-safety-power-shutoffs-amid-fires</t>
  </si>
  <si>
    <t xml:space="preserve">Cook County, IL</t>
  </si>
  <si>
    <t xml:space="preserve">Jul 15, 2024</t>
  </si>
  <si>
    <t xml:space="preserve">Tornado outbreak: more than 440,000 ComEd customers lost power; most restored by Jul 19</t>
  </si>
  <si>
    <t xml:space="preserve">https://www.businesswire.com/news/home/20240717251696/en</t>
  </si>
  <si>
    <t xml:space="preserve">Harris County, TX</t>
  </si>
  <si>
    <t xml:space="preserve">Jul 8, 2024</t>
  </si>
  <si>
    <t xml:space="preserve">Hurricane Beryl: more than 2.2 million CenterPoint customers lost power during a heat advisory; 1.1 million still out 3 days later</t>
  </si>
  <si>
    <t xml:space="preserve">https://www.axios.com/local/houston/2024/07/11/houston-power-outage-storm-beryl-centerpoint</t>
  </si>
  <si>
    <t xml:space="preserve">Maricopa County, AZ</t>
  </si>
  <si>
    <t xml:space="preserve">May 2023 study</t>
  </si>
  <si>
    <t xml:space="preserve">Georgia Tech study: a multiday blackout during a heat wave would send half of Phoenix residents to emergency care</t>
  </si>
  <si>
    <t xml:space="preserve">https://www.axios.com/local/phoenix/2023/05/24/heat-wave-black-out-phoenx-heat-deaths-hospital</t>
  </si>
  <si>
    <t xml:space="preserve">Miami-Dade County, FL</t>
  </si>
  <si>
    <t xml:space="preserve">Sep 11, 2017</t>
  </si>
  <si>
    <t xml:space="preserve">Hurricane Irma: about 830,000 of 1.1 million without power, roughly three-quarters</t>
  </si>
  <si>
    <t xml:space="preserve">https://www.wgbh.org/news/2017-09-11/power-out-for-more-than-60-percent-of-florida-homes-and-businesses</t>
  </si>
  <si>
    <t xml:space="preserve">Jun 29, 2012</t>
  </si>
  <si>
    <t xml:space="preserve">Windstorm: about 87 to 91% of AEP customers without power; 90% restoration not expected until Jul 6</t>
  </si>
  <si>
    <t xml:space="preserve">https://woub.org/?p=5527</t>
  </si>
  <si>
    <t xml:space="preserve">Late Sep 2024</t>
  </si>
  <si>
    <t xml:space="preserve">Hurricane Helene: more than 6,000 people without power; local state of emergency</t>
  </si>
  <si>
    <t xml:space="preserve">https://www.wymt.com/2024/09/30/harlan-county-power-outage-update/</t>
  </si>
  <si>
    <t xml:space="preserve">Oct 30, 2017</t>
  </si>
  <si>
    <t xml:space="preserve">Windstorm: about 450,000 NH customers lost power statewide; North Country hardest hit for road damage. No Coos-only count found</t>
  </si>
  <si>
    <t xml:space="preserve">https://www.nhpr.org/nh-news/2017-10-30/update-n-h-sees-widespread-damage-from-severe-wind-rainstorm</t>
  </si>
  <si>
    <t xml:space="preserve">Jun 11, 2022</t>
  </si>
  <si>
    <t xml:space="preserve">Hardin downburst: winds estimated near 115 mph snapped power poles; about 1,778 customers lost power</t>
  </si>
  <si>
    <t xml:space="preserve">https://www.weather.gov/byz/June-11-2022-Hardin-Downburst</t>
  </si>
  <si>
    <t xml:space="preserve">Jan 2026</t>
  </si>
  <si>
    <t xml:space="preserve">Ice storm: more than 140,000 Mississippians without power; nearby Delta counties 92 to 96% out. No Sunflower-only figure found</t>
  </si>
  <si>
    <t xml:space="preserve">https://www.yahoo.com/news/articles/nearly-140-000-still-without-160954894.html</t>
  </si>
  <si>
    <t xml:space="preserve">Sources</t>
  </si>
  <si>
    <t xml:space="preserve">HHS emPOWER REST Service (county and ZIP layers, data updated Aug 17, 2026)</t>
  </si>
  <si>
    <t xml:space="preserve">https://services2.arcgis.com/ZQ4jTQn6k7VPXEwO/ArcGIS/rest/services/HHS_emPOWER_REST_Service_Public/FeatureServer</t>
  </si>
  <si>
    <t xml:space="preserve">2020 Census population and land area: Wikipedia county infoboxes (U.S. Census Bureau figures)</t>
  </si>
  <si>
    <t xml:space="preserve">https://en.wikipedia.org/wiki/Athens_County,_Ohio (and matching pages for each county)</t>
  </si>
  <si>
    <t xml:space="preserve">NC Department of Public Safety: generators for critical public facilities (2019)</t>
  </si>
  <si>
    <t xml:space="preserve">https://ncdps.gov/news/press-releases/2019/06/18/communities-receive-generators-powering-critical-public</t>
  </si>
  <si>
    <t xml:space="preserve">WUFT: Suwannee County approves purchase of $600,000 generator (Feb 3, 2026)</t>
  </si>
  <si>
    <t xml:space="preserve">https://www.wuft.org/politics/2026-02-03/suwannee-county-approves-purchase-of-600-000-generator-for-emergency-shelter</t>
  </si>
  <si>
    <t xml:space="preserve">Inogen At Home energy calculator</t>
  </si>
  <si>
    <t xml:space="preserve">https://www.inogen.com/products/energy-savings-calculator/</t>
  </si>
  <si>
    <t xml:space="preserve">Herc Rentals: diesel generator fuel consumption</t>
  </si>
  <si>
    <t xml:space="preserve">https://blog.hercrentals.com/power-generation/how-to-calculate-diesel-generator-fuel-consumption/</t>
  </si>
  <si>
    <t xml:space="preserve">Athens County Public Libraries</t>
  </si>
  <si>
    <t xml:space="preserve">https://www.myacpl.org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</si>
</sst>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#,##0.0;\(#,##0.0\);\-"/>
    <numFmt numFmtId="167" formatCode="0.0%;\(0.0%\);\-"/>
    <numFmt numFmtId="168" formatCode="\$#,##0;&quot;($&quot;#,##0\);\-"/>
    <numFmt numFmtId="169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E2E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E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4" min="3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2" min="11" style="0" width="11"/>
    <col collapsed="false" customWidth="true" hidden="false" outlineLevel="0" max="14" min="13" style="0" width="10"/>
    <col collapsed="false" customWidth="true" hidden="false" outlineLevel="0" max="15" min="15" style="0" width="8"/>
    <col collapsed="false" customWidth="true" hidden="false" outlineLevel="0" max="19" min="16" style="0" width="11"/>
    <col collapsed="false" customWidth="true" hidden="false" outlineLevel="0" max="20" min="20" style="0" width="13"/>
    <col collapsed="false" customWidth="true" hidden="false" outlineLevel="0" max="21" min="21" style="0" width="12"/>
    <col collapsed="false" customWidth="true" hidden="false" outlineLevel="0" max="22" min="22" style="0" width="11"/>
    <col collapsed="false" customWidth="true" hidden="false" outlineLevel="0" max="27" min="23" style="0" width="14"/>
    <col collapsed="false" customWidth="true" hidden="false" outlineLevel="0" max="29" min="28" style="0" width="12"/>
    <col collapsed="false" customWidth="true" hidden="false" outlineLevel="0" max="30" min="30" style="0" width="14"/>
    <col collapsed="false" customWidth="true" hidden="false" outlineLevel="0" max="31" min="31" style="0" width="12"/>
    <col collapsed="false" customWidth="true" hidden="false" outlineLevel="0" max="32" min="32" style="0" width="48"/>
    <col collapsed="false" customWidth="true" hidden="false" outlineLevel="0" max="33" min="33" style="0" width="22"/>
    <col collapsed="false" customWidth="true" hidden="false" outlineLevel="0" max="34" min="34" style="0" width="3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customFormat="false" ht="48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</row>
    <row r="5" customFormat="false" ht="15" hidden="false" customHeight="false" outlineLevel="0" collapsed="false">
      <c r="A5" s="5" t="s">
        <v>36</v>
      </c>
      <c r="B5" s="5" t="s">
        <v>37</v>
      </c>
      <c r="C5" s="5" t="s">
        <v>38</v>
      </c>
      <c r="D5" s="5" t="s">
        <v>39</v>
      </c>
      <c r="E5" s="6" t="n">
        <v>10014009</v>
      </c>
      <c r="F5" s="7" t="n">
        <v>4058</v>
      </c>
      <c r="G5" s="8" t="n">
        <f aca="false">E5/F5</f>
        <v>2467.72030556925</v>
      </c>
      <c r="H5" s="6" t="n">
        <v>1716142</v>
      </c>
      <c r="I5" s="6" t="n">
        <v>67311</v>
      </c>
      <c r="J5" s="9" t="n">
        <f aca="false">I5/H5</f>
        <v>0.0392222788090962</v>
      </c>
      <c r="K5" s="6" t="n">
        <v>13254</v>
      </c>
      <c r="L5" s="6" t="n">
        <v>13765</v>
      </c>
      <c r="M5" s="6" t="n">
        <v>16517</v>
      </c>
      <c r="N5" s="6" t="n">
        <v>2735</v>
      </c>
      <c r="O5" s="10" t="n">
        <f aca="false">IF(D5="Rural",Assumptions!$B$11,Assumptions!$B$12)</f>
        <v>3</v>
      </c>
      <c r="P5" s="8" t="n">
        <f aca="false">I5*Assumptions!$B$7</f>
        <v>16827.75</v>
      </c>
      <c r="Q5" s="11" t="n">
        <f aca="false">P5*Assumptions!$B$8/1000</f>
        <v>4627.63125</v>
      </c>
      <c r="R5" s="11" t="n">
        <f aca="false">P5*Assumptions!$B$9/1000</f>
        <v>9255.2625</v>
      </c>
      <c r="S5" s="12"/>
      <c r="T5" s="12"/>
      <c r="U5" s="8" t="n">
        <f aca="false">IF(D5="Rural",MAX(S5,ROUNDUP(R5/Assumptions!$B$10,0)),ROUNDUP(Q5/Assumptions!$B$10,0))</f>
        <v>47</v>
      </c>
      <c r="V5" s="8" t="n">
        <f aca="false">IF(D5="Rural",MAX(T5,ROUNDUP(R5/Assumptions!$B$10,0)),ROUNDUP(R5/Assumptions!$B$10,0))</f>
        <v>93</v>
      </c>
      <c r="W5" s="13" t="n">
        <f aca="false">U5*Assumptions!$B$5</f>
        <v>2741651</v>
      </c>
      <c r="X5" s="13" t="n">
        <f aca="false">V5*Assumptions!$B$5</f>
        <v>5424969</v>
      </c>
      <c r="Y5" s="13" t="n">
        <f aca="false">W5*Assumptions!$B$6</f>
        <v>2056238.25</v>
      </c>
      <c r="Z5" s="13" t="n">
        <f aca="false">W5-Y5</f>
        <v>685412.75</v>
      </c>
      <c r="AA5" s="13" t="n">
        <f aca="false">X5*(1-Assumptions!$B$6)</f>
        <v>1356242.25</v>
      </c>
      <c r="AB5" s="14" t="n">
        <f aca="false">W5/E5</f>
        <v>0.273781559413418</v>
      </c>
      <c r="AC5" s="12"/>
      <c r="AD5" s="12"/>
      <c r="AE5" s="9" t="str">
        <f aca="false">IF(D5="Rural",AD5/AC5,"Not computed")</f>
        <v>Not computed</v>
      </c>
      <c r="AF5" s="5" t="s">
        <v>40</v>
      </c>
      <c r="AG5" s="5" t="str">
        <f aca="false">"Hookups: weeks per site"</f>
        <v>Hookups: weeks per site</v>
      </c>
      <c r="AH5" s="5" t="str">
        <f aca="false">IF(D5="Rural","Generators: months; grants can take years","Phase in by region over several years")</f>
        <v>Phase in by region over several years</v>
      </c>
    </row>
    <row r="6" customFormat="false" ht="15" hidden="false" customHeight="false" outlineLevel="0" collapsed="false">
      <c r="A6" s="5" t="s">
        <v>41</v>
      </c>
      <c r="B6" s="5" t="s">
        <v>42</v>
      </c>
      <c r="C6" s="5" t="s">
        <v>43</v>
      </c>
      <c r="D6" s="5" t="s">
        <v>39</v>
      </c>
      <c r="E6" s="6" t="n">
        <v>5275541</v>
      </c>
      <c r="F6" s="7" t="n">
        <v>945</v>
      </c>
      <c r="G6" s="8" t="n">
        <f aca="false">E6/F6</f>
        <v>5582.58306878307</v>
      </c>
      <c r="H6" s="6" t="n">
        <v>880036</v>
      </c>
      <c r="I6" s="6" t="n">
        <v>33574</v>
      </c>
      <c r="J6" s="9" t="n">
        <f aca="false">I6/H6</f>
        <v>0.0381507120163266</v>
      </c>
      <c r="K6" s="6" t="n">
        <v>5550</v>
      </c>
      <c r="L6" s="6" t="n">
        <v>6193</v>
      </c>
      <c r="M6" s="6" t="n">
        <v>5852</v>
      </c>
      <c r="N6" s="6" t="n">
        <v>1386</v>
      </c>
      <c r="O6" s="10" t="n">
        <f aca="false">IF(D6="Rural",Assumptions!$B$11,Assumptions!$B$12)</f>
        <v>3</v>
      </c>
      <c r="P6" s="8" t="n">
        <f aca="false">I6*Assumptions!$B$7</f>
        <v>8393.5</v>
      </c>
      <c r="Q6" s="11" t="n">
        <f aca="false">P6*Assumptions!$B$8/1000</f>
        <v>2308.2125</v>
      </c>
      <c r="R6" s="11" t="n">
        <f aca="false">P6*Assumptions!$B$9/1000</f>
        <v>4616.425</v>
      </c>
      <c r="S6" s="12"/>
      <c r="T6" s="12"/>
      <c r="U6" s="8" t="n">
        <f aca="false">IF(D6="Rural",MAX(S6,ROUNDUP(R6/Assumptions!$B$10,0)),ROUNDUP(Q6/Assumptions!$B$10,0))</f>
        <v>24</v>
      </c>
      <c r="V6" s="8" t="n">
        <f aca="false">IF(D6="Rural",MAX(T6,ROUNDUP(R6/Assumptions!$B$10,0)),ROUNDUP(R6/Assumptions!$B$10,0))</f>
        <v>47</v>
      </c>
      <c r="W6" s="13" t="n">
        <f aca="false">U6*Assumptions!$B$5</f>
        <v>1399992</v>
      </c>
      <c r="X6" s="13" t="n">
        <f aca="false">V6*Assumptions!$B$5</f>
        <v>2741651</v>
      </c>
      <c r="Y6" s="13" t="n">
        <f aca="false">W6*Assumptions!$B$6</f>
        <v>1049994</v>
      </c>
      <c r="Z6" s="13" t="n">
        <f aca="false">W6-Y6</f>
        <v>349998</v>
      </c>
      <c r="AA6" s="13" t="n">
        <f aca="false">X6*(1-Assumptions!$B$6)</f>
        <v>685412.75</v>
      </c>
      <c r="AB6" s="14" t="n">
        <f aca="false">W6/E6</f>
        <v>0.265374110446682</v>
      </c>
      <c r="AC6" s="12"/>
      <c r="AD6" s="12"/>
      <c r="AE6" s="9" t="str">
        <f aca="false">IF(D6="Rural",AD6/AC6,"Not computed")</f>
        <v>Not computed</v>
      </c>
      <c r="AF6" s="5" t="s">
        <v>40</v>
      </c>
      <c r="AG6" s="5" t="str">
        <f aca="false">"Hookups: weeks per site"</f>
        <v>Hookups: weeks per site</v>
      </c>
      <c r="AH6" s="5" t="str">
        <f aca="false">IF(D6="Rural","Generators: months; grants can take years","Phase in by region over several years")</f>
        <v>Phase in by region over several years</v>
      </c>
    </row>
    <row r="7" customFormat="false" ht="15" hidden="false" customHeight="false" outlineLevel="0" collapsed="false">
      <c r="A7" s="5" t="s">
        <v>44</v>
      </c>
      <c r="B7" s="5" t="s">
        <v>45</v>
      </c>
      <c r="C7" s="5" t="s">
        <v>46</v>
      </c>
      <c r="D7" s="5" t="s">
        <v>39</v>
      </c>
      <c r="E7" s="6" t="n">
        <v>4731145</v>
      </c>
      <c r="F7" s="7" t="n">
        <v>1707.288</v>
      </c>
      <c r="G7" s="8" t="n">
        <f aca="false">E7/F7</f>
        <v>2771.14640295018</v>
      </c>
      <c r="H7" s="6" t="n">
        <v>672080</v>
      </c>
      <c r="I7" s="6" t="n">
        <v>28811</v>
      </c>
      <c r="J7" s="9" t="n">
        <f aca="false">I7/H7</f>
        <v>0.0428684085227949</v>
      </c>
      <c r="K7" s="6" t="n">
        <v>4366</v>
      </c>
      <c r="L7" s="6" t="n">
        <v>6987</v>
      </c>
      <c r="M7" s="6" t="n">
        <v>5164</v>
      </c>
      <c r="N7" s="6" t="n">
        <v>1335</v>
      </c>
      <c r="O7" s="10" t="n">
        <f aca="false">IF(D7="Rural",Assumptions!$B$11,Assumptions!$B$12)</f>
        <v>3</v>
      </c>
      <c r="P7" s="8" t="n">
        <f aca="false">I7*Assumptions!$B$7</f>
        <v>7202.75</v>
      </c>
      <c r="Q7" s="11" t="n">
        <f aca="false">P7*Assumptions!$B$8/1000</f>
        <v>1980.75625</v>
      </c>
      <c r="R7" s="11" t="n">
        <f aca="false">P7*Assumptions!$B$9/1000</f>
        <v>3961.5125</v>
      </c>
      <c r="S7" s="12"/>
      <c r="T7" s="12"/>
      <c r="U7" s="8" t="n">
        <f aca="false">IF(D7="Rural",MAX(S7,ROUNDUP(R7/Assumptions!$B$10,0)),ROUNDUP(Q7/Assumptions!$B$10,0))</f>
        <v>20</v>
      </c>
      <c r="V7" s="8" t="n">
        <f aca="false">IF(D7="Rural",MAX(T7,ROUNDUP(R7/Assumptions!$B$10,0)),ROUNDUP(R7/Assumptions!$B$10,0))</f>
        <v>40</v>
      </c>
      <c r="W7" s="13" t="n">
        <f aca="false">U7*Assumptions!$B$5</f>
        <v>1166660</v>
      </c>
      <c r="X7" s="13" t="n">
        <f aca="false">V7*Assumptions!$B$5</f>
        <v>2333320</v>
      </c>
      <c r="Y7" s="13" t="n">
        <f aca="false">W7*Assumptions!$B$6</f>
        <v>874995</v>
      </c>
      <c r="Z7" s="13" t="n">
        <f aca="false">W7-Y7</f>
        <v>291665</v>
      </c>
      <c r="AA7" s="13" t="n">
        <f aca="false">X7*(1-Assumptions!$B$6)</f>
        <v>583330</v>
      </c>
      <c r="AB7" s="14" t="n">
        <f aca="false">W7/E7</f>
        <v>0.246591469929584</v>
      </c>
      <c r="AC7" s="12"/>
      <c r="AD7" s="12"/>
      <c r="AE7" s="9" t="str">
        <f aca="false">IF(D7="Rural",AD7/AC7,"Not computed")</f>
        <v>Not computed</v>
      </c>
      <c r="AF7" s="5" t="s">
        <v>40</v>
      </c>
      <c r="AG7" s="5" t="str">
        <f aca="false">"Hookups: weeks per site"</f>
        <v>Hookups: weeks per site</v>
      </c>
      <c r="AH7" s="5" t="str">
        <f aca="false">IF(D7="Rural","Generators: months; grants can take years","Phase in by region over several years")</f>
        <v>Phase in by region over several years</v>
      </c>
    </row>
    <row r="8" customFormat="false" ht="15" hidden="false" customHeight="false" outlineLevel="0" collapsed="false">
      <c r="A8" s="5" t="s">
        <v>47</v>
      </c>
      <c r="B8" s="5" t="s">
        <v>48</v>
      </c>
      <c r="C8" s="5" t="s">
        <v>49</v>
      </c>
      <c r="D8" s="5" t="s">
        <v>39</v>
      </c>
      <c r="E8" s="6" t="n">
        <v>4420568</v>
      </c>
      <c r="F8" s="7" t="n">
        <v>9200</v>
      </c>
      <c r="G8" s="8" t="n">
        <f aca="false">E8/F8</f>
        <v>480.49652173913</v>
      </c>
      <c r="H8" s="6" t="n">
        <v>817022</v>
      </c>
      <c r="I8" s="6" t="n">
        <v>32883</v>
      </c>
      <c r="J8" s="9" t="n">
        <f aca="false">I8/H8</f>
        <v>0.0402473862392934</v>
      </c>
      <c r="K8" s="6" t="n">
        <v>6677</v>
      </c>
      <c r="L8" s="6" t="n">
        <v>3712</v>
      </c>
      <c r="M8" s="6" t="n">
        <v>2797</v>
      </c>
      <c r="N8" s="6" t="n">
        <v>1279</v>
      </c>
      <c r="O8" s="10" t="n">
        <f aca="false">IF(D8="Rural",Assumptions!$B$11,Assumptions!$B$12)</f>
        <v>3</v>
      </c>
      <c r="P8" s="8" t="n">
        <f aca="false">I8*Assumptions!$B$7</f>
        <v>8220.75</v>
      </c>
      <c r="Q8" s="11" t="n">
        <f aca="false">P8*Assumptions!$B$8/1000</f>
        <v>2260.70625</v>
      </c>
      <c r="R8" s="11" t="n">
        <f aca="false">P8*Assumptions!$B$9/1000</f>
        <v>4521.4125</v>
      </c>
      <c r="S8" s="12"/>
      <c r="T8" s="12"/>
      <c r="U8" s="8" t="n">
        <f aca="false">IF(D8="Rural",MAX(S8,ROUNDUP(R8/Assumptions!$B$10,0)),ROUNDUP(Q8/Assumptions!$B$10,0))</f>
        <v>23</v>
      </c>
      <c r="V8" s="8" t="n">
        <f aca="false">IF(D8="Rural",MAX(T8,ROUNDUP(R8/Assumptions!$B$10,0)),ROUNDUP(R8/Assumptions!$B$10,0))</f>
        <v>46</v>
      </c>
      <c r="W8" s="13" t="n">
        <f aca="false">U8*Assumptions!$B$5</f>
        <v>1341659</v>
      </c>
      <c r="X8" s="13" t="n">
        <f aca="false">V8*Assumptions!$B$5</f>
        <v>2683318</v>
      </c>
      <c r="Y8" s="13" t="n">
        <f aca="false">W8*Assumptions!$B$6</f>
        <v>1006244.25</v>
      </c>
      <c r="Z8" s="13" t="n">
        <f aca="false">W8-Y8</f>
        <v>335414.75</v>
      </c>
      <c r="AA8" s="13" t="n">
        <f aca="false">X8*(1-Assumptions!$B$6)</f>
        <v>670829.5</v>
      </c>
      <c r="AB8" s="14" t="n">
        <f aca="false">W8/E8</f>
        <v>0.303503757888127</v>
      </c>
      <c r="AC8" s="12"/>
      <c r="AD8" s="12"/>
      <c r="AE8" s="9" t="str">
        <f aca="false">IF(D8="Rural",AD8/AC8,"Not computed")</f>
        <v>Not computed</v>
      </c>
      <c r="AF8" s="5" t="s">
        <v>40</v>
      </c>
      <c r="AG8" s="5" t="str">
        <f aca="false">"Hookups: weeks per site"</f>
        <v>Hookups: weeks per site</v>
      </c>
      <c r="AH8" s="5" t="str">
        <f aca="false">IF(D8="Rural","Generators: months; grants can take years","Phase in by region over several years")</f>
        <v>Phase in by region over several years</v>
      </c>
    </row>
    <row r="9" customFormat="false" ht="15" hidden="false" customHeight="false" outlineLevel="0" collapsed="false">
      <c r="A9" s="5" t="s">
        <v>50</v>
      </c>
      <c r="B9" s="5" t="s">
        <v>51</v>
      </c>
      <c r="C9" s="5" t="s">
        <v>52</v>
      </c>
      <c r="D9" s="5" t="s">
        <v>39</v>
      </c>
      <c r="E9" s="6" t="n">
        <v>2701767</v>
      </c>
      <c r="F9" s="7" t="n">
        <v>1898.753</v>
      </c>
      <c r="G9" s="8" t="n">
        <f aca="false">E9/F9</f>
        <v>1422.91651415429</v>
      </c>
      <c r="H9" s="6" t="n">
        <v>525034</v>
      </c>
      <c r="I9" s="6" t="n">
        <v>23346</v>
      </c>
      <c r="J9" s="9" t="n">
        <f aca="false">I9/H9</f>
        <v>0.0444656917456774</v>
      </c>
      <c r="K9" s="6" t="n">
        <v>5732</v>
      </c>
      <c r="L9" s="6" t="n">
        <v>3127</v>
      </c>
      <c r="M9" s="6" t="n">
        <v>2673</v>
      </c>
      <c r="N9" s="6" t="n">
        <v>1081</v>
      </c>
      <c r="O9" s="10" t="n">
        <f aca="false">IF(D9="Rural",Assumptions!$B$11,Assumptions!$B$12)</f>
        <v>3</v>
      </c>
      <c r="P9" s="8" t="n">
        <f aca="false">I9*Assumptions!$B$7</f>
        <v>5836.5</v>
      </c>
      <c r="Q9" s="11" t="n">
        <f aca="false">P9*Assumptions!$B$8/1000</f>
        <v>1605.0375</v>
      </c>
      <c r="R9" s="11" t="n">
        <f aca="false">P9*Assumptions!$B$9/1000</f>
        <v>3210.075</v>
      </c>
      <c r="S9" s="12"/>
      <c r="T9" s="12"/>
      <c r="U9" s="8" t="n">
        <f aca="false">IF(D9="Rural",MAX(S9,ROUNDUP(R9/Assumptions!$B$10,0)),ROUNDUP(Q9/Assumptions!$B$10,0))</f>
        <v>17</v>
      </c>
      <c r="V9" s="8" t="n">
        <f aca="false">IF(D9="Rural",MAX(T9,ROUNDUP(R9/Assumptions!$B$10,0)),ROUNDUP(R9/Assumptions!$B$10,0))</f>
        <v>33</v>
      </c>
      <c r="W9" s="13" t="n">
        <f aca="false">U9*Assumptions!$B$5</f>
        <v>991661</v>
      </c>
      <c r="X9" s="13" t="n">
        <f aca="false">V9*Assumptions!$B$5</f>
        <v>1924989</v>
      </c>
      <c r="Y9" s="13" t="n">
        <f aca="false">W9*Assumptions!$B$6</f>
        <v>743745.75</v>
      </c>
      <c r="Z9" s="13" t="n">
        <f aca="false">W9-Y9</f>
        <v>247915.25</v>
      </c>
      <c r="AA9" s="13" t="n">
        <f aca="false">X9*(1-Assumptions!$B$6)</f>
        <v>481247.25</v>
      </c>
      <c r="AB9" s="14" t="n">
        <f aca="false">W9/E9</f>
        <v>0.367041643487392</v>
      </c>
      <c r="AC9" s="12"/>
      <c r="AD9" s="12"/>
      <c r="AE9" s="9" t="str">
        <f aca="false">IF(D9="Rural",AD9/AC9,"Not computed")</f>
        <v>Not computed</v>
      </c>
      <c r="AF9" s="5" t="s">
        <v>40</v>
      </c>
      <c r="AG9" s="5" t="str">
        <f aca="false">"Hookups: weeks per site"</f>
        <v>Hookups: weeks per site</v>
      </c>
      <c r="AH9" s="5" t="str">
        <f aca="false">IF(D9="Rural","Generators: months; grants can take years","Phase in by region over several years")</f>
        <v>Phase in by region over several years</v>
      </c>
    </row>
    <row r="10" customFormat="false" ht="15" hidden="false" customHeight="false" outlineLevel="0" collapsed="false">
      <c r="A10" s="5" t="s">
        <v>53</v>
      </c>
      <c r="B10" s="5" t="s">
        <v>54</v>
      </c>
      <c r="C10" s="5" t="s">
        <v>55</v>
      </c>
      <c r="D10" s="5" t="s">
        <v>56</v>
      </c>
      <c r="E10" s="6" t="n">
        <v>62431</v>
      </c>
      <c r="F10" s="7" t="n">
        <v>504</v>
      </c>
      <c r="G10" s="8" t="n">
        <f aca="false">E10/F10</f>
        <v>123.871031746032</v>
      </c>
      <c r="H10" s="6" t="n">
        <v>12713</v>
      </c>
      <c r="I10" s="6" t="n">
        <v>845</v>
      </c>
      <c r="J10" s="9" t="n">
        <f aca="false">I10/H10</f>
        <v>0.0664673955793283</v>
      </c>
      <c r="K10" s="6" t="n">
        <v>284</v>
      </c>
      <c r="L10" s="6" t="n">
        <v>88</v>
      </c>
      <c r="M10" s="6" t="n">
        <v>148</v>
      </c>
      <c r="N10" s="6" t="n">
        <v>77</v>
      </c>
      <c r="O10" s="10" t="n">
        <f aca="false">IF(D10="Rural",Assumptions!$B$11,Assumptions!$B$12)</f>
        <v>10</v>
      </c>
      <c r="P10" s="8" t="n">
        <f aca="false">I10*Assumptions!$B$7</f>
        <v>211.25</v>
      </c>
      <c r="Q10" s="11" t="n">
        <f aca="false">P10*Assumptions!$B$8/1000</f>
        <v>58.09375</v>
      </c>
      <c r="R10" s="11" t="n">
        <f aca="false">P10*Assumptions!$B$9/1000</f>
        <v>116.1875</v>
      </c>
      <c r="S10" s="6" t="n">
        <v>3</v>
      </c>
      <c r="T10" s="6" t="n">
        <v>4</v>
      </c>
      <c r="U10" s="8" t="n">
        <f aca="false">IF(D10="Rural",MAX(S10,ROUNDUP(R10/Assumptions!$B$10,0)),ROUNDUP(Q10/Assumptions!$B$10,0))</f>
        <v>3</v>
      </c>
      <c r="V10" s="8" t="n">
        <f aca="false">IF(D10="Rural",MAX(T10,ROUNDUP(R10/Assumptions!$B$10,0)),ROUNDUP(R10/Assumptions!$B$10,0))</f>
        <v>4</v>
      </c>
      <c r="W10" s="13" t="n">
        <f aca="false">U10*Assumptions!$B$5</f>
        <v>174999</v>
      </c>
      <c r="X10" s="13" t="n">
        <f aca="false">V10*Assumptions!$B$5</f>
        <v>233332</v>
      </c>
      <c r="Y10" s="13" t="n">
        <f aca="false">W10*Assumptions!$B$6</f>
        <v>131249.25</v>
      </c>
      <c r="Z10" s="13" t="n">
        <f aca="false">W10-Y10</f>
        <v>43749.75</v>
      </c>
      <c r="AA10" s="13" t="n">
        <f aca="false">X10*(1-Assumptions!$B$6)</f>
        <v>58333</v>
      </c>
      <c r="AB10" s="14" t="n">
        <f aca="false">W10/E10</f>
        <v>2.80307859877305</v>
      </c>
      <c r="AC10" s="6" t="n">
        <v>829</v>
      </c>
      <c r="AD10" s="6" t="n">
        <v>805</v>
      </c>
      <c r="AE10" s="9" t="n">
        <f aca="false">IF(D10="Rural",AD10/AC10,"Not computed")</f>
        <v>0.971049457177322</v>
      </c>
      <c r="AF10" s="5" t="s">
        <v>57</v>
      </c>
      <c r="AG10" s="5" t="str">
        <f aca="false">"Hookups: weeks per site"</f>
        <v>Hookups: weeks per site</v>
      </c>
      <c r="AH10" s="5" t="str">
        <f aca="false">IF(D10="Rural","Generators: months; grants can take years","Phase in by region over several years")</f>
        <v>Generators: months; grants can take years</v>
      </c>
    </row>
    <row r="11" customFormat="false" ht="15" hidden="false" customHeight="false" outlineLevel="0" collapsed="false">
      <c r="A11" s="5" t="s">
        <v>58</v>
      </c>
      <c r="B11" s="5" t="s">
        <v>59</v>
      </c>
      <c r="C11" s="5" t="s">
        <v>60</v>
      </c>
      <c r="D11" s="5" t="s">
        <v>56</v>
      </c>
      <c r="E11" s="6" t="n">
        <v>26831</v>
      </c>
      <c r="F11" s="7" t="n">
        <v>466</v>
      </c>
      <c r="G11" s="8" t="n">
        <f aca="false">E11/F11</f>
        <v>57.5772532188841</v>
      </c>
      <c r="H11" s="6" t="n">
        <v>6953</v>
      </c>
      <c r="I11" s="6" t="n">
        <v>875</v>
      </c>
      <c r="J11" s="9" t="n">
        <f aca="false">I11/H11</f>
        <v>0.125844959010499</v>
      </c>
      <c r="K11" s="6" t="n">
        <v>207</v>
      </c>
      <c r="L11" s="6" t="n">
        <v>88</v>
      </c>
      <c r="M11" s="6" t="n">
        <v>165</v>
      </c>
      <c r="N11" s="6" t="n">
        <v>55</v>
      </c>
      <c r="O11" s="10" t="n">
        <f aca="false">IF(D11="Rural",Assumptions!$B$11,Assumptions!$B$12)</f>
        <v>10</v>
      </c>
      <c r="P11" s="8" t="n">
        <f aca="false">I11*Assumptions!$B$7</f>
        <v>218.75</v>
      </c>
      <c r="Q11" s="11" t="n">
        <f aca="false">P11*Assumptions!$B$8/1000</f>
        <v>60.15625</v>
      </c>
      <c r="R11" s="11" t="n">
        <f aca="false">P11*Assumptions!$B$9/1000</f>
        <v>120.3125</v>
      </c>
      <c r="S11" s="6" t="n">
        <v>2</v>
      </c>
      <c r="T11" s="6" t="n">
        <v>4</v>
      </c>
      <c r="U11" s="8" t="n">
        <f aca="false">IF(D11="Rural",MAX(S11,ROUNDUP(R11/Assumptions!$B$10,0)),ROUNDUP(Q11/Assumptions!$B$10,0))</f>
        <v>2</v>
      </c>
      <c r="V11" s="8" t="n">
        <f aca="false">IF(D11="Rural",MAX(T11,ROUNDUP(R11/Assumptions!$B$10,0)),ROUNDUP(R11/Assumptions!$B$10,0))</f>
        <v>4</v>
      </c>
      <c r="W11" s="13" t="n">
        <f aca="false">U11*Assumptions!$B$5</f>
        <v>116666</v>
      </c>
      <c r="X11" s="13" t="n">
        <f aca="false">V11*Assumptions!$B$5</f>
        <v>233332</v>
      </c>
      <c r="Y11" s="13" t="n">
        <f aca="false">W11*Assumptions!$B$6</f>
        <v>87499.5</v>
      </c>
      <c r="Z11" s="13" t="n">
        <f aca="false">W11-Y11</f>
        <v>29166.5</v>
      </c>
      <c r="AA11" s="13" t="n">
        <f aca="false">X11*(1-Assumptions!$B$6)</f>
        <v>58333</v>
      </c>
      <c r="AB11" s="14" t="n">
        <f aca="false">W11/E11</f>
        <v>4.34817934478775</v>
      </c>
      <c r="AC11" s="6" t="n">
        <v>861</v>
      </c>
      <c r="AD11" s="6" t="n">
        <v>833</v>
      </c>
      <c r="AE11" s="9" t="n">
        <f aca="false">IF(D11="Rural",AD11/AC11,"Not computed")</f>
        <v>0.967479674796748</v>
      </c>
      <c r="AF11" s="5" t="s">
        <v>61</v>
      </c>
      <c r="AG11" s="5" t="str">
        <f aca="false">"Hookups: weeks per site"</f>
        <v>Hookups: weeks per site</v>
      </c>
      <c r="AH11" s="5" t="str">
        <f aca="false">IF(D11="Rural","Generators: months; grants can take years","Phase in by region over several years")</f>
        <v>Generators: months; grants can take years</v>
      </c>
    </row>
    <row r="12" customFormat="false" ht="15" hidden="false" customHeight="false" outlineLevel="0" collapsed="false">
      <c r="A12" s="5" t="s">
        <v>62</v>
      </c>
      <c r="B12" s="5" t="s">
        <v>63</v>
      </c>
      <c r="C12" s="5" t="s">
        <v>64</v>
      </c>
      <c r="D12" s="5" t="s">
        <v>56</v>
      </c>
      <c r="E12" s="6" t="n">
        <v>31268</v>
      </c>
      <c r="F12" s="7" t="n">
        <v>1795</v>
      </c>
      <c r="G12" s="8" t="n">
        <f aca="false">E12/F12</f>
        <v>17.4194986072423</v>
      </c>
      <c r="H12" s="6" t="n">
        <v>11023</v>
      </c>
      <c r="I12" s="6" t="n">
        <v>466</v>
      </c>
      <c r="J12" s="9" t="n">
        <f aca="false">I12/H12</f>
        <v>0.0422752426744081</v>
      </c>
      <c r="K12" s="6" t="n">
        <v>157</v>
      </c>
      <c r="L12" s="6" t="n">
        <v>66</v>
      </c>
      <c r="M12" s="6" t="n">
        <v>110</v>
      </c>
      <c r="N12" s="6" t="n">
        <v>22</v>
      </c>
      <c r="O12" s="10" t="n">
        <f aca="false">IF(D12="Rural",Assumptions!$B$11,Assumptions!$B$12)</f>
        <v>10</v>
      </c>
      <c r="P12" s="8" t="n">
        <f aca="false">I12*Assumptions!$B$7</f>
        <v>116.5</v>
      </c>
      <c r="Q12" s="11" t="n">
        <f aca="false">P12*Assumptions!$B$8/1000</f>
        <v>32.0375</v>
      </c>
      <c r="R12" s="11" t="n">
        <f aca="false">P12*Assumptions!$B$9/1000</f>
        <v>64.075</v>
      </c>
      <c r="S12" s="6" t="n">
        <v>5</v>
      </c>
      <c r="T12" s="6" t="n">
        <v>8</v>
      </c>
      <c r="U12" s="8" t="n">
        <f aca="false">IF(D12="Rural",MAX(S12,ROUNDUP(R12/Assumptions!$B$10,0)),ROUNDUP(Q12/Assumptions!$B$10,0))</f>
        <v>5</v>
      </c>
      <c r="V12" s="8" t="n">
        <f aca="false">IF(D12="Rural",MAX(T12,ROUNDUP(R12/Assumptions!$B$10,0)),ROUNDUP(R12/Assumptions!$B$10,0))</f>
        <v>8</v>
      </c>
      <c r="W12" s="13" t="n">
        <f aca="false">U12*Assumptions!$B$5</f>
        <v>291665</v>
      </c>
      <c r="X12" s="13" t="n">
        <f aca="false">V12*Assumptions!$B$5</f>
        <v>466664</v>
      </c>
      <c r="Y12" s="13" t="n">
        <f aca="false">W12*Assumptions!$B$6</f>
        <v>218748.75</v>
      </c>
      <c r="Z12" s="13" t="n">
        <f aca="false">W12-Y12</f>
        <v>72916.25</v>
      </c>
      <c r="AA12" s="13" t="n">
        <f aca="false">X12*(1-Assumptions!$B$6)</f>
        <v>116666</v>
      </c>
      <c r="AB12" s="14" t="n">
        <f aca="false">W12/E12</f>
        <v>9.32790712549572</v>
      </c>
      <c r="AC12" s="6" t="n">
        <v>477</v>
      </c>
      <c r="AD12" s="6" t="n">
        <v>438</v>
      </c>
      <c r="AE12" s="9" t="n">
        <f aca="false">IF(D12="Rural",AD12/AC12,"Not computed")</f>
        <v>0.918238993710692</v>
      </c>
      <c r="AF12" s="5" t="s">
        <v>61</v>
      </c>
      <c r="AG12" s="5" t="str">
        <f aca="false">"Hookups: weeks per site"</f>
        <v>Hookups: weeks per site</v>
      </c>
      <c r="AH12" s="5" t="str">
        <f aca="false">IF(D12="Rural","Generators: months; grants can take years","Phase in by region over several years")</f>
        <v>Generators: months; grants can take years</v>
      </c>
    </row>
    <row r="13" customFormat="false" ht="15" hidden="false" customHeight="false" outlineLevel="0" collapsed="false">
      <c r="A13" s="5" t="s">
        <v>65</v>
      </c>
      <c r="B13" s="5" t="s">
        <v>66</v>
      </c>
      <c r="C13" s="5" t="s">
        <v>67</v>
      </c>
      <c r="D13" s="5" t="s">
        <v>56</v>
      </c>
      <c r="E13" s="6" t="n">
        <v>13124</v>
      </c>
      <c r="F13" s="7" t="n">
        <v>4995</v>
      </c>
      <c r="G13" s="8" t="n">
        <f aca="false">E13/F13</f>
        <v>2.62742742742743</v>
      </c>
      <c r="H13" s="6" t="n">
        <v>2101</v>
      </c>
      <c r="I13" s="6" t="n">
        <v>223</v>
      </c>
      <c r="J13" s="9" t="n">
        <f aca="false">I13/H13</f>
        <v>0.106139933365064</v>
      </c>
      <c r="K13" s="6" t="n">
        <v>133</v>
      </c>
      <c r="L13" s="6" t="n">
        <v>73</v>
      </c>
      <c r="M13" s="6" t="n">
        <v>0</v>
      </c>
      <c r="N13" s="6" t="n">
        <v>0</v>
      </c>
      <c r="O13" s="10" t="n">
        <f aca="false">IF(D13="Rural",Assumptions!$B$11,Assumptions!$B$12)</f>
        <v>10</v>
      </c>
      <c r="P13" s="8" t="n">
        <f aca="false">I13*Assumptions!$B$7</f>
        <v>55.75</v>
      </c>
      <c r="Q13" s="11" t="n">
        <f aca="false">P13*Assumptions!$B$8/1000</f>
        <v>15.33125</v>
      </c>
      <c r="R13" s="11" t="n">
        <f aca="false">P13*Assumptions!$B$9/1000</f>
        <v>30.6625</v>
      </c>
      <c r="S13" s="6" t="n">
        <v>8</v>
      </c>
      <c r="T13" s="6" t="n">
        <v>10</v>
      </c>
      <c r="U13" s="8" t="n">
        <f aca="false">IF(D13="Rural",MAX(S13,ROUNDUP(R13/Assumptions!$B$10,0)),ROUNDUP(Q13/Assumptions!$B$10,0))</f>
        <v>8</v>
      </c>
      <c r="V13" s="8" t="n">
        <f aca="false">IF(D13="Rural",MAX(T13,ROUNDUP(R13/Assumptions!$B$10,0)),ROUNDUP(R13/Assumptions!$B$10,0))</f>
        <v>10</v>
      </c>
      <c r="W13" s="13" t="n">
        <f aca="false">U13*Assumptions!$B$5</f>
        <v>466664</v>
      </c>
      <c r="X13" s="13" t="n">
        <f aca="false">V13*Assumptions!$B$5</f>
        <v>583330</v>
      </c>
      <c r="Y13" s="13" t="n">
        <f aca="false">W13*Assumptions!$B$6</f>
        <v>349998</v>
      </c>
      <c r="Z13" s="13" t="n">
        <f aca="false">W13-Y13</f>
        <v>116666</v>
      </c>
      <c r="AA13" s="13" t="n">
        <f aca="false">X13*(1-Assumptions!$B$6)</f>
        <v>145832.5</v>
      </c>
      <c r="AB13" s="14" t="n">
        <f aca="false">W13/E13</f>
        <v>35.5580615665956</v>
      </c>
      <c r="AC13" s="6" t="n">
        <v>223</v>
      </c>
      <c r="AD13" s="6" t="n">
        <v>201</v>
      </c>
      <c r="AE13" s="9" t="n">
        <f aca="false">IF(D13="Rural",AD13/AC13,"Not computed")</f>
        <v>0.901345291479821</v>
      </c>
      <c r="AF13" s="5" t="s">
        <v>61</v>
      </c>
      <c r="AG13" s="5" t="str">
        <f aca="false">"Hookups: weeks per site"</f>
        <v>Hookups: weeks per site</v>
      </c>
      <c r="AH13" s="5" t="str">
        <f aca="false">IF(D13="Rural","Generators: months; grants can take years","Phase in by region over several years")</f>
        <v>Generators: months; grants can take years</v>
      </c>
    </row>
    <row r="14" customFormat="false" ht="15" hidden="false" customHeight="false" outlineLevel="0" collapsed="false">
      <c r="A14" s="5" t="s">
        <v>68</v>
      </c>
      <c r="B14" s="5" t="s">
        <v>69</v>
      </c>
      <c r="C14" s="5" t="s">
        <v>70</v>
      </c>
      <c r="D14" s="5" t="s">
        <v>56</v>
      </c>
      <c r="E14" s="6" t="n">
        <v>25971</v>
      </c>
      <c r="F14" s="7" t="n">
        <v>697.759</v>
      </c>
      <c r="G14" s="8" t="n">
        <f aca="false">E14/F14</f>
        <v>37.2205876240937</v>
      </c>
      <c r="H14" s="6" t="n">
        <v>4842</v>
      </c>
      <c r="I14" s="6" t="n">
        <v>359</v>
      </c>
      <c r="J14" s="9" t="n">
        <f aca="false">I14/H14</f>
        <v>0.0741429161503511</v>
      </c>
      <c r="K14" s="6" t="n">
        <v>92</v>
      </c>
      <c r="L14" s="6" t="n">
        <v>111</v>
      </c>
      <c r="M14" s="6" t="n">
        <v>83</v>
      </c>
      <c r="N14" s="6" t="n">
        <v>33</v>
      </c>
      <c r="O14" s="10" t="n">
        <f aca="false">IF(D14="Rural",Assumptions!$B$11,Assumptions!$B$12)</f>
        <v>10</v>
      </c>
      <c r="P14" s="8" t="n">
        <f aca="false">I14*Assumptions!$B$7</f>
        <v>89.75</v>
      </c>
      <c r="Q14" s="11" t="n">
        <f aca="false">P14*Assumptions!$B$8/1000</f>
        <v>24.68125</v>
      </c>
      <c r="R14" s="11" t="n">
        <f aca="false">P14*Assumptions!$B$9/1000</f>
        <v>49.3625</v>
      </c>
      <c r="S14" s="6" t="n">
        <v>3</v>
      </c>
      <c r="T14" s="6" t="n">
        <v>4</v>
      </c>
      <c r="U14" s="8" t="n">
        <f aca="false">IF(D14="Rural",MAX(S14,ROUNDUP(R14/Assumptions!$B$10,0)),ROUNDUP(Q14/Assumptions!$B$10,0))</f>
        <v>3</v>
      </c>
      <c r="V14" s="8" t="n">
        <f aca="false">IF(D14="Rural",MAX(T14,ROUNDUP(R14/Assumptions!$B$10,0)),ROUNDUP(R14/Assumptions!$B$10,0))</f>
        <v>4</v>
      </c>
      <c r="W14" s="13" t="n">
        <f aca="false">U14*Assumptions!$B$5</f>
        <v>174999</v>
      </c>
      <c r="X14" s="13" t="n">
        <f aca="false">V14*Assumptions!$B$5</f>
        <v>233332</v>
      </c>
      <c r="Y14" s="13" t="n">
        <f aca="false">W14*Assumptions!$B$6</f>
        <v>131249.25</v>
      </c>
      <c r="Z14" s="13" t="n">
        <f aca="false">W14-Y14</f>
        <v>43749.75</v>
      </c>
      <c r="AA14" s="13" t="n">
        <f aca="false">X14*(1-Assumptions!$B$6)</f>
        <v>58333</v>
      </c>
      <c r="AB14" s="14" t="n">
        <f aca="false">W14/E14</f>
        <v>6.73824650571792</v>
      </c>
      <c r="AC14" s="6" t="n">
        <v>359</v>
      </c>
      <c r="AD14" s="6" t="n">
        <v>345</v>
      </c>
      <c r="AE14" s="9" t="n">
        <f aca="false">IF(D14="Rural",AD14/AC14,"Not computed")</f>
        <v>0.96100278551532</v>
      </c>
      <c r="AF14" s="5" t="s">
        <v>61</v>
      </c>
      <c r="AG14" s="5" t="str">
        <f aca="false">"Hookups: weeks per site"</f>
        <v>Hookups: weeks per site</v>
      </c>
      <c r="AH14" s="5" t="str">
        <f aca="false">IF(D14="Rural","Generators: months; grants can take years","Phase in by region over several years")</f>
        <v>Generators: months; grants can take years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customFormat="false" ht="15" hidden="false" customHeight="false" outlineLevel="0" collapsed="false">
      <c r="A16" s="15" t="s">
        <v>71</v>
      </c>
      <c r="B16" s="2"/>
      <c r="C16" s="2"/>
      <c r="D16" s="2"/>
      <c r="E16" s="16" t="n">
        <f aca="false">SUMIFS(E5:E14,$D$5:$D$14,"Urban")</f>
        <v>27143030</v>
      </c>
      <c r="F16" s="2"/>
      <c r="G16" s="2"/>
      <c r="H16" s="2"/>
      <c r="I16" s="16" t="n">
        <f aca="false">SUMIFS(I5:I14,$D$5:$D$14,"Urban")</f>
        <v>185925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16" t="n">
        <f aca="false">SUMIFS(U5:U14,$D$5:$D$14,"Urban")</f>
        <v>131</v>
      </c>
      <c r="V16" s="16" t="n">
        <f aca="false">SUMIFS(V5:V14,$D$5:$D$14,"Urban")</f>
        <v>259</v>
      </c>
      <c r="W16" s="17" t="n">
        <f aca="false">SUMIFS(W5:W14,$D$5:$D$14,"Urban")</f>
        <v>7641623</v>
      </c>
      <c r="X16" s="17" t="n">
        <f aca="false">SUMIFS(X5:X14,$D$5:$D$14,"Urban")</f>
        <v>15108247</v>
      </c>
      <c r="Y16" s="17" t="n">
        <f aca="false">SUMIFS(Y5:Y14,$D$5:$D$14,"Urban")</f>
        <v>5731217.25</v>
      </c>
      <c r="Z16" s="17" t="n">
        <f aca="false">SUMIFS(Z5:Z14,$D$5:$D$14,"Urban")</f>
        <v>1910405.75</v>
      </c>
      <c r="AA16" s="17" t="n">
        <f aca="false">SUMIFS(AA5:AA14,$D$5:$D$14,"Urban")</f>
        <v>3777061.75</v>
      </c>
      <c r="AB16" s="2"/>
      <c r="AC16" s="2"/>
      <c r="AD16" s="2"/>
      <c r="AE16" s="2"/>
      <c r="AF16" s="2"/>
      <c r="AG16" s="2"/>
      <c r="AH16" s="2"/>
    </row>
    <row r="17" customFormat="false" ht="15" hidden="false" customHeight="false" outlineLevel="0" collapsed="false">
      <c r="A17" s="15" t="s">
        <v>72</v>
      </c>
      <c r="B17" s="2"/>
      <c r="C17" s="2"/>
      <c r="D17" s="2"/>
      <c r="E17" s="16" t="n">
        <f aca="false">SUMIFS(E5:E14,$D$5:$D$14,"Rural")</f>
        <v>159625</v>
      </c>
      <c r="F17" s="2"/>
      <c r="G17" s="2"/>
      <c r="H17" s="2"/>
      <c r="I17" s="16" t="n">
        <f aca="false">SUMIFS(I5:I14,$D$5:$D$14,"Rural")</f>
        <v>2768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16" t="n">
        <f aca="false">SUMIFS(U5:U14,$D$5:$D$14,"Rural")</f>
        <v>21</v>
      </c>
      <c r="V17" s="16" t="n">
        <f aca="false">SUMIFS(V5:V14,$D$5:$D$14,"Rural")</f>
        <v>30</v>
      </c>
      <c r="W17" s="17" t="n">
        <f aca="false">SUMIFS(W5:W14,$D$5:$D$14,"Rural")</f>
        <v>1224993</v>
      </c>
      <c r="X17" s="17" t="n">
        <f aca="false">SUMIFS(X5:X14,$D$5:$D$14,"Rural")</f>
        <v>1749990</v>
      </c>
      <c r="Y17" s="17" t="n">
        <f aca="false">SUMIFS(Y5:Y14,$D$5:$D$14,"Rural")</f>
        <v>918744.75</v>
      </c>
      <c r="Z17" s="17" t="n">
        <f aca="false">SUMIFS(Z5:Z14,$D$5:$D$14,"Rural")</f>
        <v>306248.25</v>
      </c>
      <c r="AA17" s="17" t="n">
        <f aca="false">SUMIFS(AA5:AA14,$D$5:$D$14,"Rural")</f>
        <v>437497.5</v>
      </c>
      <c r="AB17" s="2"/>
      <c r="AC17" s="2"/>
      <c r="AD17" s="2"/>
      <c r="AE17" s="2"/>
      <c r="AF17" s="2"/>
      <c r="AG17" s="2"/>
      <c r="AH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customFormat="false" ht="15" hidden="false" customHeight="false" outlineLevel="0" collapsed="false">
      <c r="A19" s="15" t="s">
        <v>73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 customFormat="false" ht="15" hidden="false" customHeight="false" outlineLevel="0" collapsed="false">
      <c r="A20" s="18" t="s">
        <v>74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 customFormat="false" ht="15" hidden="false" customHeight="false" outlineLevel="0" collapsed="false">
      <c r="A21" s="18" t="s">
        <v>75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 customFormat="false" ht="15" hidden="false" customHeight="false" outlineLevel="0" collapsed="false">
      <c r="A22" s="18" t="s">
        <v>76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 customFormat="false" ht="15" hidden="false" customHeight="false" outlineLevel="0" collapsed="false">
      <c r="A23" s="18" t="s">
        <v>77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 customFormat="false" ht="15" hidden="false" customHeight="false" outlineLevel="0" collapsed="false">
      <c r="A24" s="18" t="s">
        <v>78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 customFormat="false" ht="15" hidden="false" customHeight="false" outlineLevel="0" collapsed="false">
      <c r="A25" s="18" t="s">
        <v>79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</cols>
  <sheetData>
    <row r="1" customFormat="false" ht="17.35" hidden="false" customHeight="false" outlineLevel="0" collapsed="false">
      <c r="A1" s="1" t="s">
        <v>80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81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9.55" hidden="false" customHeight="false" outlineLevel="0" collapsed="false">
      <c r="A4" s="19" t="s">
        <v>2</v>
      </c>
      <c r="B4" s="19" t="s">
        <v>82</v>
      </c>
      <c r="C4" s="19" t="s">
        <v>83</v>
      </c>
      <c r="D4" s="19" t="s">
        <v>84</v>
      </c>
      <c r="E4" s="19" t="s">
        <v>85</v>
      </c>
      <c r="F4" s="19" t="s">
        <v>86</v>
      </c>
      <c r="G4" s="19" t="s">
        <v>87</v>
      </c>
      <c r="H4" s="19" t="s">
        <v>88</v>
      </c>
      <c r="I4" s="19" t="s">
        <v>89</v>
      </c>
      <c r="J4" s="19" t="s">
        <v>90</v>
      </c>
    </row>
    <row r="5" customFormat="false" ht="15" hidden="false" customHeight="false" outlineLevel="0" collapsed="false">
      <c r="A5" s="18" t="s">
        <v>91</v>
      </c>
      <c r="B5" s="20" t="n">
        <v>1</v>
      </c>
      <c r="C5" s="20" t="s">
        <v>92</v>
      </c>
      <c r="D5" s="20" t="s">
        <v>93</v>
      </c>
      <c r="E5" s="21" t="n">
        <v>597</v>
      </c>
      <c r="F5" s="21" t="n">
        <v>597</v>
      </c>
      <c r="G5" s="21" t="n">
        <v>829</v>
      </c>
      <c r="H5" s="22" t="n">
        <f aca="false">F5/G5</f>
        <v>0.720144752714113</v>
      </c>
      <c r="I5" s="21" t="n">
        <v>597</v>
      </c>
      <c r="J5" s="22" t="n">
        <f aca="false">F5/I5</f>
        <v>1</v>
      </c>
    </row>
    <row r="6" customFormat="false" ht="15" hidden="false" customHeight="false" outlineLevel="0" collapsed="false">
      <c r="A6" s="18" t="s">
        <v>91</v>
      </c>
      <c r="B6" s="20" t="n">
        <v>2</v>
      </c>
      <c r="C6" s="20" t="s">
        <v>94</v>
      </c>
      <c r="D6" s="20" t="s">
        <v>95</v>
      </c>
      <c r="E6" s="21" t="n">
        <v>107</v>
      </c>
      <c r="F6" s="21" t="n">
        <v>704</v>
      </c>
      <c r="G6" s="21" t="n">
        <v>829</v>
      </c>
      <c r="H6" s="22" t="n">
        <f aca="false">F6/G6</f>
        <v>0.849215922798553</v>
      </c>
      <c r="I6" s="21" t="n">
        <v>704</v>
      </c>
      <c r="J6" s="22" t="n">
        <f aca="false">F6/I6</f>
        <v>1</v>
      </c>
    </row>
    <row r="7" customFormat="false" ht="15" hidden="false" customHeight="false" outlineLevel="0" collapsed="false">
      <c r="A7" s="18" t="s">
        <v>91</v>
      </c>
      <c r="B7" s="20" t="n">
        <v>3</v>
      </c>
      <c r="C7" s="20" t="s">
        <v>96</v>
      </c>
      <c r="D7" s="20" t="s">
        <v>97</v>
      </c>
      <c r="E7" s="21" t="n">
        <v>101</v>
      </c>
      <c r="F7" s="21" t="n">
        <v>805</v>
      </c>
      <c r="G7" s="21" t="n">
        <v>829</v>
      </c>
      <c r="H7" s="22" t="n">
        <f aca="false">F7/G7</f>
        <v>0.971049457177322</v>
      </c>
      <c r="I7" s="21" t="n">
        <v>805</v>
      </c>
      <c r="J7" s="22" t="n">
        <f aca="false">F7/I7</f>
        <v>1</v>
      </c>
    </row>
    <row r="8" customFormat="false" ht="15" hidden="false" customHeight="false" outlineLevel="0" collapsed="false">
      <c r="A8" s="18" t="s">
        <v>98</v>
      </c>
      <c r="B8" s="20" t="n">
        <v>1</v>
      </c>
      <c r="C8" s="20" t="s">
        <v>99</v>
      </c>
      <c r="D8" s="20" t="s">
        <v>100</v>
      </c>
      <c r="E8" s="21" t="n">
        <v>638</v>
      </c>
      <c r="F8" s="21" t="n">
        <v>638</v>
      </c>
      <c r="G8" s="21" t="n">
        <v>861</v>
      </c>
      <c r="H8" s="22" t="n">
        <f aca="false">F8/G8</f>
        <v>0.740998838559814</v>
      </c>
      <c r="I8" s="21" t="n">
        <v>638</v>
      </c>
      <c r="J8" s="22" t="n">
        <f aca="false">IF(ISNUMBER(I8),F8/I8,"")</f>
        <v>1</v>
      </c>
    </row>
    <row r="9" customFormat="false" ht="15" hidden="false" customHeight="false" outlineLevel="0" collapsed="false">
      <c r="A9" s="18" t="s">
        <v>98</v>
      </c>
      <c r="B9" s="20" t="n">
        <v>2</v>
      </c>
      <c r="C9" s="20" t="s">
        <v>101</v>
      </c>
      <c r="D9" s="20" t="s">
        <v>102</v>
      </c>
      <c r="E9" s="21" t="n">
        <v>195</v>
      </c>
      <c r="F9" s="21" t="n">
        <v>833</v>
      </c>
      <c r="G9" s="21" t="n">
        <v>861</v>
      </c>
      <c r="H9" s="22" t="n">
        <f aca="false">F9/G9</f>
        <v>0.967479674796748</v>
      </c>
      <c r="I9" s="21" t="n">
        <v>833</v>
      </c>
      <c r="J9" s="22" t="n">
        <f aca="false">IF(ISNUMBER(I9),F9/I9,"")</f>
        <v>1</v>
      </c>
    </row>
    <row r="10" customFormat="false" ht="15" hidden="false" customHeight="false" outlineLevel="0" collapsed="false">
      <c r="A10" s="18" t="s">
        <v>98</v>
      </c>
      <c r="B10" s="20" t="n">
        <v>3</v>
      </c>
      <c r="C10" s="20" t="s">
        <v>103</v>
      </c>
      <c r="D10" s="20" t="s">
        <v>104</v>
      </c>
      <c r="E10" s="21" t="n">
        <v>17</v>
      </c>
      <c r="F10" s="21" t="n">
        <v>850</v>
      </c>
      <c r="G10" s="21" t="n">
        <v>861</v>
      </c>
      <c r="H10" s="22" t="n">
        <f aca="false">F10/G10</f>
        <v>0.987224157955865</v>
      </c>
      <c r="I10" s="21" t="n">
        <v>861</v>
      </c>
      <c r="J10" s="22" t="n">
        <f aca="false">IF(ISNUMBER(I10),F10/I10,"")</f>
        <v>0.987224157955865</v>
      </c>
    </row>
    <row r="11" customFormat="false" ht="15" hidden="false" customHeight="false" outlineLevel="0" collapsed="false">
      <c r="A11" s="18" t="s">
        <v>98</v>
      </c>
      <c r="B11" s="20" t="n">
        <v>4</v>
      </c>
      <c r="C11" s="20" t="s">
        <v>105</v>
      </c>
      <c r="D11" s="20" t="s">
        <v>106</v>
      </c>
      <c r="E11" s="21" t="n">
        <v>11</v>
      </c>
      <c r="F11" s="21" t="n">
        <v>861</v>
      </c>
      <c r="G11" s="21" t="n">
        <v>861</v>
      </c>
      <c r="H11" s="22" t="n">
        <f aca="false">F11/G11</f>
        <v>1</v>
      </c>
      <c r="I11" s="21" t="n">
        <v>861</v>
      </c>
      <c r="J11" s="22" t="n">
        <f aca="false">IF(ISNUMBER(I11),F11/I11,"")</f>
        <v>1</v>
      </c>
    </row>
    <row r="12" customFormat="false" ht="15" hidden="false" customHeight="false" outlineLevel="0" collapsed="false">
      <c r="A12" s="18" t="s">
        <v>107</v>
      </c>
      <c r="B12" s="20" t="n">
        <v>1</v>
      </c>
      <c r="C12" s="20" t="s">
        <v>108</v>
      </c>
      <c r="D12" s="20" t="s">
        <v>109</v>
      </c>
      <c r="E12" s="21" t="n">
        <v>224</v>
      </c>
      <c r="F12" s="21" t="n">
        <v>224</v>
      </c>
      <c r="G12" s="21" t="n">
        <v>477</v>
      </c>
      <c r="H12" s="22" t="n">
        <f aca="false">F12/G12</f>
        <v>0.469601677148847</v>
      </c>
      <c r="I12" s="21" t="n">
        <v>224</v>
      </c>
      <c r="J12" s="22" t="n">
        <f aca="false">IF(ISNUMBER(I12),F12/I12,"")</f>
        <v>1</v>
      </c>
    </row>
    <row r="13" customFormat="false" ht="15" hidden="false" customHeight="false" outlineLevel="0" collapsed="false">
      <c r="A13" s="18" t="s">
        <v>107</v>
      </c>
      <c r="B13" s="20" t="n">
        <v>2</v>
      </c>
      <c r="C13" s="20" t="s">
        <v>110</v>
      </c>
      <c r="D13" s="20" t="s">
        <v>111</v>
      </c>
      <c r="E13" s="21" t="n">
        <v>122</v>
      </c>
      <c r="F13" s="21" t="n">
        <v>346</v>
      </c>
      <c r="G13" s="21" t="n">
        <v>477</v>
      </c>
      <c r="H13" s="22" t="n">
        <f aca="false">F13/G13</f>
        <v>0.725366876310273</v>
      </c>
      <c r="I13" s="21" t="n">
        <v>346</v>
      </c>
      <c r="J13" s="22" t="n">
        <f aca="false">IF(ISNUMBER(I13),F13/I13,"")</f>
        <v>1</v>
      </c>
    </row>
    <row r="14" customFormat="false" ht="15" hidden="false" customHeight="false" outlineLevel="0" collapsed="false">
      <c r="A14" s="18" t="s">
        <v>107</v>
      </c>
      <c r="B14" s="20" t="n">
        <v>3</v>
      </c>
      <c r="C14" s="20" t="s">
        <v>112</v>
      </c>
      <c r="D14" s="20" t="s">
        <v>113</v>
      </c>
      <c r="E14" s="21" t="n">
        <v>47</v>
      </c>
      <c r="F14" s="21" t="n">
        <v>393</v>
      </c>
      <c r="G14" s="21" t="n">
        <v>477</v>
      </c>
      <c r="H14" s="22" t="n">
        <f aca="false">F14/G14</f>
        <v>0.823899371069182</v>
      </c>
      <c r="I14" s="21" t="n">
        <v>393</v>
      </c>
      <c r="J14" s="22" t="n">
        <f aca="false">IF(ISNUMBER(I14),F14/I14,"")</f>
        <v>1</v>
      </c>
    </row>
    <row r="15" customFormat="false" ht="15" hidden="false" customHeight="false" outlineLevel="0" collapsed="false">
      <c r="A15" s="18" t="s">
        <v>107</v>
      </c>
      <c r="B15" s="20" t="n">
        <v>4</v>
      </c>
      <c r="C15" s="20" t="s">
        <v>114</v>
      </c>
      <c r="D15" s="20" t="s">
        <v>115</v>
      </c>
      <c r="E15" s="21" t="n">
        <v>27</v>
      </c>
      <c r="F15" s="21" t="n">
        <v>420</v>
      </c>
      <c r="G15" s="21" t="n">
        <v>477</v>
      </c>
      <c r="H15" s="22" t="n">
        <f aca="false">F15/G15</f>
        <v>0.880503144654088</v>
      </c>
      <c r="I15" s="21" t="n">
        <v>437</v>
      </c>
      <c r="J15" s="22" t="n">
        <f aca="false">IF(ISNUMBER(I15),F15/I15,"")</f>
        <v>0.961098398169336</v>
      </c>
    </row>
    <row r="16" customFormat="false" ht="15" hidden="false" customHeight="false" outlineLevel="0" collapsed="false">
      <c r="A16" s="18" t="s">
        <v>107</v>
      </c>
      <c r="B16" s="20" t="n">
        <v>5</v>
      </c>
      <c r="C16" s="20" t="s">
        <v>116</v>
      </c>
      <c r="D16" s="20" t="s">
        <v>117</v>
      </c>
      <c r="E16" s="21" t="n">
        <v>18</v>
      </c>
      <c r="F16" s="21" t="n">
        <v>438</v>
      </c>
      <c r="G16" s="21" t="n">
        <v>477</v>
      </c>
      <c r="H16" s="22" t="n">
        <f aca="false">F16/G16</f>
        <v>0.918238993710692</v>
      </c>
      <c r="I16" s="21" t="n">
        <v>455</v>
      </c>
      <c r="J16" s="22" t="n">
        <f aca="false">IF(ISNUMBER(I16),F16/I16,"")</f>
        <v>0.962637362637363</v>
      </c>
    </row>
    <row r="17" customFormat="false" ht="15" hidden="false" customHeight="false" outlineLevel="0" collapsed="false">
      <c r="A17" s="18" t="s">
        <v>107</v>
      </c>
      <c r="B17" s="20" t="n">
        <v>6</v>
      </c>
      <c r="C17" s="20" t="s">
        <v>118</v>
      </c>
      <c r="D17" s="20" t="s">
        <v>119</v>
      </c>
      <c r="E17" s="21" t="n">
        <v>17</v>
      </c>
      <c r="F17" s="21" t="n">
        <v>455</v>
      </c>
      <c r="G17" s="21" t="n">
        <v>477</v>
      </c>
      <c r="H17" s="22" t="n">
        <f aca="false">F17/G17</f>
        <v>0.953878406708595</v>
      </c>
      <c r="I17" s="21" t="n">
        <v>466</v>
      </c>
      <c r="J17" s="22" t="n">
        <f aca="false">IF(ISNUMBER(I17),F17/I17,"")</f>
        <v>0.976394849785408</v>
      </c>
    </row>
    <row r="18" customFormat="false" ht="15" hidden="false" customHeight="false" outlineLevel="0" collapsed="false">
      <c r="A18" s="18" t="s">
        <v>107</v>
      </c>
      <c r="B18" s="20" t="n">
        <v>7</v>
      </c>
      <c r="C18" s="20" t="s">
        <v>120</v>
      </c>
      <c r="D18" s="20" t="s">
        <v>121</v>
      </c>
      <c r="E18" s="21" t="n">
        <v>11</v>
      </c>
      <c r="F18" s="21" t="n">
        <v>466</v>
      </c>
      <c r="G18" s="21" t="n">
        <v>477</v>
      </c>
      <c r="H18" s="22" t="n">
        <f aca="false">F18/G18</f>
        <v>0.976939203354298</v>
      </c>
      <c r="I18" s="21" t="s">
        <v>122</v>
      </c>
      <c r="J18" s="22" t="str">
        <f aca="false">IF(ISNUMBER(I18),F18/I18,"")</f>
        <v/>
      </c>
    </row>
    <row r="19" customFormat="false" ht="15" hidden="false" customHeight="false" outlineLevel="0" collapsed="false">
      <c r="A19" s="18" t="s">
        <v>107</v>
      </c>
      <c r="B19" s="20" t="n">
        <v>8</v>
      </c>
      <c r="C19" s="20" t="s">
        <v>123</v>
      </c>
      <c r="D19" s="20" t="s">
        <v>124</v>
      </c>
      <c r="E19" s="21" t="n">
        <v>11</v>
      </c>
      <c r="F19" s="21" t="n">
        <v>477</v>
      </c>
      <c r="G19" s="21" t="n">
        <v>477</v>
      </c>
      <c r="H19" s="22" t="n">
        <f aca="false">F19/G19</f>
        <v>1</v>
      </c>
      <c r="I19" s="21" t="s">
        <v>122</v>
      </c>
      <c r="J19" s="22" t="str">
        <f aca="false">IF(ISNUMBER(I19),F19/I19,"")</f>
        <v/>
      </c>
    </row>
    <row r="20" customFormat="false" ht="15" hidden="false" customHeight="false" outlineLevel="0" collapsed="false">
      <c r="A20" s="18" t="s">
        <v>125</v>
      </c>
      <c r="B20" s="20" t="n">
        <v>1</v>
      </c>
      <c r="C20" s="20" t="s">
        <v>126</v>
      </c>
      <c r="D20" s="20" t="s">
        <v>127</v>
      </c>
      <c r="E20" s="21" t="n">
        <v>93</v>
      </c>
      <c r="F20" s="21" t="n">
        <v>93</v>
      </c>
      <c r="G20" s="21" t="n">
        <v>223</v>
      </c>
      <c r="H20" s="22" t="n">
        <f aca="false">F20/G20</f>
        <v>0.417040358744395</v>
      </c>
      <c r="I20" s="21" t="n">
        <v>93</v>
      </c>
      <c r="J20" s="22" t="n">
        <f aca="false">IF(ISNUMBER(I20),F20/I20,"")</f>
        <v>1</v>
      </c>
    </row>
    <row r="21" customFormat="false" ht="15" hidden="false" customHeight="false" outlineLevel="0" collapsed="false">
      <c r="A21" s="18" t="s">
        <v>125</v>
      </c>
      <c r="B21" s="20" t="n">
        <v>2</v>
      </c>
      <c r="C21" s="20" t="s">
        <v>128</v>
      </c>
      <c r="D21" s="20" t="s">
        <v>129</v>
      </c>
      <c r="E21" s="21" t="n">
        <v>32</v>
      </c>
      <c r="F21" s="21" t="n">
        <v>125</v>
      </c>
      <c r="G21" s="21" t="n">
        <v>223</v>
      </c>
      <c r="H21" s="22" t="n">
        <f aca="false">F21/G21</f>
        <v>0.560538116591928</v>
      </c>
      <c r="I21" s="21" t="n">
        <v>125</v>
      </c>
      <c r="J21" s="22" t="n">
        <f aca="false">IF(ISNUMBER(I21),F21/I21,"")</f>
        <v>1</v>
      </c>
    </row>
    <row r="22" customFormat="false" ht="15" hidden="false" customHeight="false" outlineLevel="0" collapsed="false">
      <c r="A22" s="18" t="s">
        <v>125</v>
      </c>
      <c r="B22" s="20" t="n">
        <v>3</v>
      </c>
      <c r="C22" s="20" t="s">
        <v>130</v>
      </c>
      <c r="D22" s="20" t="s">
        <v>131</v>
      </c>
      <c r="E22" s="21" t="n">
        <v>20</v>
      </c>
      <c r="F22" s="21" t="n">
        <v>145</v>
      </c>
      <c r="G22" s="21" t="n">
        <v>223</v>
      </c>
      <c r="H22" s="22" t="n">
        <f aca="false">F22/G22</f>
        <v>0.650224215246637</v>
      </c>
      <c r="I22" s="21" t="n">
        <v>145</v>
      </c>
      <c r="J22" s="22" t="n">
        <f aca="false">IF(ISNUMBER(I22),F22/I22,"")</f>
        <v>1</v>
      </c>
    </row>
    <row r="23" customFormat="false" ht="15" hidden="false" customHeight="false" outlineLevel="0" collapsed="false">
      <c r="A23" s="18" t="s">
        <v>125</v>
      </c>
      <c r="B23" s="20" t="n">
        <v>4</v>
      </c>
      <c r="C23" s="20" t="s">
        <v>132</v>
      </c>
      <c r="D23" s="20" t="s">
        <v>133</v>
      </c>
      <c r="E23" s="21" t="n">
        <v>12</v>
      </c>
      <c r="F23" s="21" t="n">
        <v>157</v>
      </c>
      <c r="G23" s="21" t="n">
        <v>223</v>
      </c>
      <c r="H23" s="22" t="n">
        <f aca="false">F23/G23</f>
        <v>0.704035874439462</v>
      </c>
      <c r="I23" s="21" t="n">
        <v>157</v>
      </c>
      <c r="J23" s="22" t="n">
        <f aca="false">IF(ISNUMBER(I23),F23/I23,"")</f>
        <v>1</v>
      </c>
    </row>
    <row r="24" customFormat="false" ht="15" hidden="false" customHeight="false" outlineLevel="0" collapsed="false">
      <c r="A24" s="18" t="s">
        <v>125</v>
      </c>
      <c r="B24" s="20" t="n">
        <v>5</v>
      </c>
      <c r="C24" s="20" t="s">
        <v>134</v>
      </c>
      <c r="D24" s="20" t="s">
        <v>135</v>
      </c>
      <c r="E24" s="21" t="n">
        <v>11</v>
      </c>
      <c r="F24" s="21" t="n">
        <v>168</v>
      </c>
      <c r="G24" s="21" t="n">
        <v>223</v>
      </c>
      <c r="H24" s="22" t="n">
        <f aca="false">F24/G24</f>
        <v>0.753363228699552</v>
      </c>
      <c r="I24" s="21" t="n">
        <v>168</v>
      </c>
      <c r="J24" s="22" t="n">
        <f aca="false">IF(ISNUMBER(I24),F24/I24,"")</f>
        <v>1</v>
      </c>
    </row>
    <row r="25" customFormat="false" ht="15" hidden="false" customHeight="false" outlineLevel="0" collapsed="false">
      <c r="A25" s="18" t="s">
        <v>125</v>
      </c>
      <c r="B25" s="20" t="n">
        <v>6</v>
      </c>
      <c r="C25" s="20" t="s">
        <v>136</v>
      </c>
      <c r="D25" s="20" t="s">
        <v>137</v>
      </c>
      <c r="E25" s="21" t="n">
        <v>11</v>
      </c>
      <c r="F25" s="21" t="n">
        <v>179</v>
      </c>
      <c r="G25" s="21" t="n">
        <v>223</v>
      </c>
      <c r="H25" s="22" t="n">
        <f aca="false">F25/G25</f>
        <v>0.802690582959641</v>
      </c>
      <c r="I25" s="21" t="n">
        <v>179</v>
      </c>
      <c r="J25" s="22" t="n">
        <f aca="false">IF(ISNUMBER(I25),F25/I25,"")</f>
        <v>1</v>
      </c>
    </row>
    <row r="26" customFormat="false" ht="15" hidden="false" customHeight="false" outlineLevel="0" collapsed="false">
      <c r="A26" s="18" t="s">
        <v>125</v>
      </c>
      <c r="B26" s="20" t="n">
        <v>7</v>
      </c>
      <c r="C26" s="20" t="s">
        <v>138</v>
      </c>
      <c r="D26" s="20" t="s">
        <v>139</v>
      </c>
      <c r="E26" s="21" t="n">
        <v>11</v>
      </c>
      <c r="F26" s="21" t="n">
        <v>190</v>
      </c>
      <c r="G26" s="21" t="n">
        <v>223</v>
      </c>
      <c r="H26" s="22" t="n">
        <f aca="false">F26/G26</f>
        <v>0.852017937219731</v>
      </c>
      <c r="I26" s="21" t="s">
        <v>122</v>
      </c>
      <c r="J26" s="22" t="str">
        <f aca="false">IF(ISNUMBER(I26),F26/I26,"")</f>
        <v/>
      </c>
    </row>
    <row r="27" customFormat="false" ht="15" hidden="false" customHeight="false" outlineLevel="0" collapsed="false">
      <c r="A27" s="18" t="s">
        <v>125</v>
      </c>
      <c r="B27" s="20" t="n">
        <v>8</v>
      </c>
      <c r="C27" s="20" t="s">
        <v>140</v>
      </c>
      <c r="D27" s="20" t="s">
        <v>141</v>
      </c>
      <c r="E27" s="21" t="n">
        <v>11</v>
      </c>
      <c r="F27" s="21" t="n">
        <v>201</v>
      </c>
      <c r="G27" s="21" t="n">
        <v>223</v>
      </c>
      <c r="H27" s="22" t="n">
        <f aca="false">F27/G27</f>
        <v>0.901345291479821</v>
      </c>
      <c r="I27" s="21" t="s">
        <v>122</v>
      </c>
      <c r="J27" s="22" t="str">
        <f aca="false">IF(ISNUMBER(I27),F27/I27,"")</f>
        <v/>
      </c>
    </row>
    <row r="28" customFormat="false" ht="15" hidden="false" customHeight="false" outlineLevel="0" collapsed="false">
      <c r="A28" s="18" t="s">
        <v>125</v>
      </c>
      <c r="B28" s="20" t="n">
        <v>9</v>
      </c>
      <c r="C28" s="20" t="s">
        <v>142</v>
      </c>
      <c r="D28" s="20" t="s">
        <v>143</v>
      </c>
      <c r="E28" s="21" t="n">
        <v>11</v>
      </c>
      <c r="F28" s="21" t="n">
        <v>212</v>
      </c>
      <c r="G28" s="21" t="n">
        <v>223</v>
      </c>
      <c r="H28" s="22" t="n">
        <f aca="false">F28/G28</f>
        <v>0.95067264573991</v>
      </c>
      <c r="I28" s="21" t="s">
        <v>122</v>
      </c>
      <c r="J28" s="22" t="str">
        <f aca="false">IF(ISNUMBER(I28),F28/I28,"")</f>
        <v/>
      </c>
    </row>
    <row r="29" customFormat="false" ht="15" hidden="false" customHeight="false" outlineLevel="0" collapsed="false">
      <c r="A29" s="18" t="s">
        <v>125</v>
      </c>
      <c r="B29" s="20" t="n">
        <v>10</v>
      </c>
      <c r="C29" s="20" t="s">
        <v>144</v>
      </c>
      <c r="D29" s="20" t="s">
        <v>145</v>
      </c>
      <c r="E29" s="21" t="n">
        <v>11</v>
      </c>
      <c r="F29" s="21" t="n">
        <v>223</v>
      </c>
      <c r="G29" s="21" t="n">
        <v>223</v>
      </c>
      <c r="H29" s="22" t="n">
        <f aca="false">F29/G29</f>
        <v>1</v>
      </c>
      <c r="I29" s="21" t="s">
        <v>122</v>
      </c>
      <c r="J29" s="22" t="str">
        <f aca="false">IF(ISNUMBER(I29),F29/I29,"")</f>
        <v/>
      </c>
    </row>
    <row r="30" customFormat="false" ht="15" hidden="false" customHeight="false" outlineLevel="0" collapsed="false">
      <c r="A30" s="18" t="s">
        <v>146</v>
      </c>
      <c r="B30" s="20" t="n">
        <v>1</v>
      </c>
      <c r="C30" s="20" t="s">
        <v>147</v>
      </c>
      <c r="D30" s="20" t="s">
        <v>148</v>
      </c>
      <c r="E30" s="21" t="n">
        <v>250</v>
      </c>
      <c r="F30" s="21" t="n">
        <v>250</v>
      </c>
      <c r="G30" s="21" t="n">
        <v>359</v>
      </c>
      <c r="H30" s="22" t="n">
        <f aca="false">F30/G30</f>
        <v>0.696378830083566</v>
      </c>
      <c r="I30" s="21" t="n">
        <v>250</v>
      </c>
      <c r="J30" s="22" t="n">
        <f aca="false">IF(ISNUMBER(I30),F30/I30,"")</f>
        <v>1</v>
      </c>
    </row>
    <row r="31" customFormat="false" ht="15" hidden="false" customHeight="false" outlineLevel="0" collapsed="false">
      <c r="A31" s="18" t="s">
        <v>146</v>
      </c>
      <c r="B31" s="20" t="n">
        <v>2</v>
      </c>
      <c r="C31" s="20" t="s">
        <v>149</v>
      </c>
      <c r="D31" s="20" t="s">
        <v>150</v>
      </c>
      <c r="E31" s="21" t="n">
        <v>53</v>
      </c>
      <c r="F31" s="21" t="n">
        <v>303</v>
      </c>
      <c r="G31" s="21" t="n">
        <v>359</v>
      </c>
      <c r="H31" s="22" t="n">
        <f aca="false">F31/G31</f>
        <v>0.844011142061281</v>
      </c>
      <c r="I31" s="21" t="n">
        <v>303</v>
      </c>
      <c r="J31" s="22" t="n">
        <f aca="false">IF(ISNUMBER(I31),F31/I31,"")</f>
        <v>1</v>
      </c>
    </row>
    <row r="32" customFormat="false" ht="15" hidden="false" customHeight="false" outlineLevel="0" collapsed="false">
      <c r="A32" s="18" t="s">
        <v>146</v>
      </c>
      <c r="B32" s="20" t="n">
        <v>3</v>
      </c>
      <c r="C32" s="20" t="s">
        <v>151</v>
      </c>
      <c r="D32" s="20" t="s">
        <v>152</v>
      </c>
      <c r="E32" s="21" t="n">
        <v>42</v>
      </c>
      <c r="F32" s="21" t="n">
        <v>345</v>
      </c>
      <c r="G32" s="21" t="n">
        <v>359</v>
      </c>
      <c r="H32" s="22" t="n">
        <f aca="false">F32/G32</f>
        <v>0.96100278551532</v>
      </c>
      <c r="I32" s="21" t="n">
        <v>345</v>
      </c>
      <c r="J32" s="22" t="n">
        <f aca="false">IF(ISNUMBER(I32),F32/I32,"")</f>
        <v>1</v>
      </c>
    </row>
    <row r="33" customFormat="false" ht="15" hidden="false" customHeight="false" outlineLevel="0" collapsed="false">
      <c r="A33" s="18" t="s">
        <v>146</v>
      </c>
      <c r="B33" s="20" t="n">
        <v>4</v>
      </c>
      <c r="C33" s="20" t="s">
        <v>153</v>
      </c>
      <c r="D33" s="20" t="s">
        <v>154</v>
      </c>
      <c r="E33" s="21" t="n">
        <v>14</v>
      </c>
      <c r="F33" s="21" t="n">
        <v>359</v>
      </c>
      <c r="G33" s="21" t="n">
        <v>359</v>
      </c>
      <c r="H33" s="22" t="n">
        <f aca="false">F33/G33</f>
        <v>1</v>
      </c>
      <c r="I33" s="21" t="n">
        <v>359</v>
      </c>
      <c r="J33" s="22" t="n">
        <f aca="false">IF(ISNUMBER(I33),F33/I33,"")</f>
        <v>1</v>
      </c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15" hidden="false" customHeight="false" outlineLevel="0" collapsed="false">
      <c r="A35" s="18" t="s">
        <v>155</v>
      </c>
      <c r="B35" s="2"/>
      <c r="C35" s="2"/>
      <c r="D35" s="2"/>
      <c r="E35" s="2"/>
      <c r="F35" s="2"/>
      <c r="G35" s="2"/>
      <c r="H35" s="2"/>
      <c r="I35" s="2"/>
      <c r="J3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1" t="s">
        <v>156</v>
      </c>
      <c r="B1" s="2"/>
      <c r="C1" s="2"/>
      <c r="D1" s="2"/>
      <c r="E1" s="2"/>
    </row>
    <row r="2" customFormat="false" ht="15" hidden="false" customHeight="false" outlineLevel="0" collapsed="false">
      <c r="A2" s="2"/>
      <c r="B2" s="2"/>
      <c r="C2" s="2"/>
      <c r="D2" s="2"/>
      <c r="E2" s="2"/>
    </row>
    <row r="3" customFormat="false" ht="15" hidden="false" customHeight="false" outlineLevel="0" collapsed="false">
      <c r="A3" s="23" t="s">
        <v>157</v>
      </c>
      <c r="B3" s="23" t="s">
        <v>158</v>
      </c>
      <c r="C3" s="23" t="s">
        <v>84</v>
      </c>
      <c r="D3" s="23" t="s">
        <v>159</v>
      </c>
      <c r="E3" s="23" t="s">
        <v>160</v>
      </c>
    </row>
    <row r="4" customFormat="false" ht="15" hidden="false" customHeight="false" outlineLevel="0" collapsed="false">
      <c r="A4" s="20" t="s">
        <v>161</v>
      </c>
      <c r="B4" s="20" t="s">
        <v>162</v>
      </c>
      <c r="C4" s="20" t="s">
        <v>163</v>
      </c>
      <c r="D4" s="20" t="s">
        <v>164</v>
      </c>
      <c r="E4" s="18" t="s">
        <v>165</v>
      </c>
    </row>
    <row r="5" customFormat="false" ht="15" hidden="false" customHeight="false" outlineLevel="0" collapsed="false">
      <c r="A5" s="20" t="s">
        <v>92</v>
      </c>
      <c r="B5" s="20" t="s">
        <v>166</v>
      </c>
      <c r="C5" s="20" t="s">
        <v>93</v>
      </c>
      <c r="D5" s="20" t="s">
        <v>167</v>
      </c>
      <c r="E5" s="18" t="s">
        <v>168</v>
      </c>
    </row>
    <row r="6" customFormat="false" ht="15" hidden="false" customHeight="false" outlineLevel="0" collapsed="false">
      <c r="A6" s="20" t="s">
        <v>94</v>
      </c>
      <c r="B6" s="20" t="s">
        <v>169</v>
      </c>
      <c r="C6" s="20" t="s">
        <v>95</v>
      </c>
      <c r="D6" s="20" t="s">
        <v>170</v>
      </c>
      <c r="E6" s="18" t="s">
        <v>171</v>
      </c>
    </row>
    <row r="7" customFormat="false" ht="15" hidden="false" customHeight="false" outlineLevel="0" collapsed="false">
      <c r="A7" s="20" t="s">
        <v>172</v>
      </c>
      <c r="B7" s="20" t="s">
        <v>173</v>
      </c>
      <c r="C7" s="20" t="s">
        <v>174</v>
      </c>
      <c r="D7" s="20" t="s">
        <v>164</v>
      </c>
      <c r="E7" s="18"/>
    </row>
    <row r="8" customFormat="false" ht="15" hidden="false" customHeight="false" outlineLevel="0" collapsed="false">
      <c r="A8" s="20" t="s">
        <v>175</v>
      </c>
      <c r="B8" s="20" t="s">
        <v>176</v>
      </c>
      <c r="C8" s="20" t="s">
        <v>177</v>
      </c>
      <c r="D8" s="20" t="s">
        <v>164</v>
      </c>
      <c r="E8" s="18"/>
    </row>
    <row r="9" customFormat="false" ht="15" hidden="false" customHeight="false" outlineLevel="0" collapsed="false">
      <c r="A9" s="20" t="s">
        <v>178</v>
      </c>
      <c r="B9" s="20" t="s">
        <v>179</v>
      </c>
      <c r="C9" s="20" t="s">
        <v>180</v>
      </c>
      <c r="D9" s="20" t="s">
        <v>164</v>
      </c>
      <c r="E9" s="18" t="s">
        <v>181</v>
      </c>
    </row>
    <row r="10" customFormat="false" ht="15" hidden="false" customHeight="false" outlineLevel="0" collapsed="false">
      <c r="A10" s="20" t="s">
        <v>96</v>
      </c>
      <c r="B10" s="20" t="s">
        <v>182</v>
      </c>
      <c r="C10" s="20" t="s">
        <v>97</v>
      </c>
      <c r="D10" s="20" t="s">
        <v>183</v>
      </c>
      <c r="E10" s="18" t="s">
        <v>184</v>
      </c>
    </row>
    <row r="11" customFormat="false" ht="15" hidden="false" customHeight="false" outlineLevel="0" collapsed="false">
      <c r="A11" s="2"/>
      <c r="B11" s="2"/>
      <c r="C11" s="2"/>
      <c r="D11" s="2"/>
      <c r="E11" s="2"/>
    </row>
    <row r="12" customFormat="false" ht="15" hidden="false" customHeight="false" outlineLevel="0" collapsed="false">
      <c r="A12" s="18" t="s">
        <v>185</v>
      </c>
      <c r="B12" s="2"/>
      <c r="C12" s="2"/>
      <c r="D12" s="2"/>
      <c r="E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3" min="3" style="0" width="100"/>
  </cols>
  <sheetData>
    <row r="1" customFormat="false" ht="17.35" hidden="false" customHeight="false" outlineLevel="0" collapsed="false">
      <c r="A1" s="1" t="s">
        <v>186</v>
      </c>
      <c r="B1" s="2"/>
      <c r="C1" s="2"/>
    </row>
    <row r="2" customFormat="false" ht="15" hidden="false" customHeight="false" outlineLevel="0" collapsed="false">
      <c r="A2" s="3" t="s">
        <v>187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5" hidden="false" customHeight="false" outlineLevel="0" collapsed="false">
      <c r="A4" s="23" t="s">
        <v>188</v>
      </c>
      <c r="B4" s="23" t="s">
        <v>189</v>
      </c>
      <c r="C4" s="23" t="s">
        <v>190</v>
      </c>
    </row>
    <row r="5" customFormat="false" ht="26.85" hidden="false" customHeight="false" outlineLevel="0" collapsed="false">
      <c r="A5" s="18" t="s">
        <v>191</v>
      </c>
      <c r="B5" s="24" t="n">
        <v>58333</v>
      </c>
      <c r="C5" s="25" t="s">
        <v>192</v>
      </c>
    </row>
    <row r="6" customFormat="false" ht="26.85" hidden="false" customHeight="false" outlineLevel="0" collapsed="false">
      <c r="A6" s="18" t="s">
        <v>193</v>
      </c>
      <c r="B6" s="26" t="n">
        <v>0.75</v>
      </c>
      <c r="C6" s="25" t="s">
        <v>194</v>
      </c>
    </row>
    <row r="7" customFormat="false" ht="26.85" hidden="false" customHeight="false" outlineLevel="0" collapsed="false">
      <c r="A7" s="18" t="s">
        <v>195</v>
      </c>
      <c r="B7" s="27" t="n">
        <v>0.25</v>
      </c>
      <c r="C7" s="25" t="s">
        <v>196</v>
      </c>
    </row>
    <row r="8" customFormat="false" ht="15" hidden="false" customHeight="false" outlineLevel="0" collapsed="false">
      <c r="A8" s="18" t="s">
        <v>197</v>
      </c>
      <c r="B8" s="21" t="n">
        <v>275</v>
      </c>
      <c r="C8" s="25" t="s">
        <v>198</v>
      </c>
    </row>
    <row r="9" customFormat="false" ht="15" hidden="false" customHeight="false" outlineLevel="0" collapsed="false">
      <c r="A9" s="18" t="s">
        <v>199</v>
      </c>
      <c r="B9" s="21" t="n">
        <v>550</v>
      </c>
      <c r="C9" s="25" t="s">
        <v>200</v>
      </c>
    </row>
    <row r="10" customFormat="false" ht="26.85" hidden="false" customHeight="false" outlineLevel="0" collapsed="false">
      <c r="A10" s="18" t="s">
        <v>201</v>
      </c>
      <c r="B10" s="28" t="n">
        <v>100</v>
      </c>
      <c r="C10" s="25" t="s">
        <v>202</v>
      </c>
    </row>
    <row r="11" customFormat="false" ht="15" hidden="false" customHeight="false" outlineLevel="0" collapsed="false">
      <c r="A11" s="18" t="s">
        <v>203</v>
      </c>
      <c r="B11" s="21" t="n">
        <v>10</v>
      </c>
      <c r="C11" s="25" t="s">
        <v>204</v>
      </c>
    </row>
    <row r="12" customFormat="false" ht="26.85" hidden="false" customHeight="false" outlineLevel="0" collapsed="false">
      <c r="A12" s="18" t="s">
        <v>205</v>
      </c>
      <c r="B12" s="21" t="n">
        <v>3</v>
      </c>
      <c r="C12" s="25" t="s">
        <v>206</v>
      </c>
    </row>
    <row r="13" customFormat="false" ht="15" hidden="false" customHeight="false" outlineLevel="0" collapsed="false">
      <c r="A13" s="18" t="s">
        <v>207</v>
      </c>
      <c r="B13" s="29" t="n">
        <v>7.4</v>
      </c>
      <c r="C13" s="25" t="s">
        <v>208</v>
      </c>
    </row>
    <row r="14" customFormat="false" ht="26.85" hidden="false" customHeight="false" outlineLevel="0" collapsed="false">
      <c r="A14" s="18" t="s">
        <v>209</v>
      </c>
      <c r="B14" s="24" t="n">
        <v>606291</v>
      </c>
      <c r="C14" s="25" t="s">
        <v>210</v>
      </c>
    </row>
    <row r="15" customFormat="false" ht="15" hidden="false" customHeight="false" outlineLevel="0" collapsed="false">
      <c r="A15" s="18" t="s">
        <v>211</v>
      </c>
      <c r="B15" s="30" t="n">
        <f aca="false">B13*24</f>
        <v>177.6</v>
      </c>
      <c r="C15" s="18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80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213</v>
      </c>
      <c r="B1" s="2"/>
      <c r="C1" s="2"/>
      <c r="D1" s="2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3" t="s">
        <v>2</v>
      </c>
      <c r="B3" s="23" t="s">
        <v>214</v>
      </c>
      <c r="C3" s="23" t="s">
        <v>215</v>
      </c>
      <c r="D3" s="23" t="s">
        <v>216</v>
      </c>
    </row>
    <row r="4" customFormat="false" ht="26.85" hidden="false" customHeight="false" outlineLevel="0" collapsed="false">
      <c r="A4" s="25" t="s">
        <v>217</v>
      </c>
      <c r="B4" s="25" t="s">
        <v>218</v>
      </c>
      <c r="C4" s="25" t="s">
        <v>219</v>
      </c>
      <c r="D4" s="25" t="s">
        <v>220</v>
      </c>
    </row>
    <row r="5" customFormat="false" ht="26.85" hidden="false" customHeight="false" outlineLevel="0" collapsed="false">
      <c r="A5" s="25" t="s">
        <v>221</v>
      </c>
      <c r="B5" s="25" t="s">
        <v>222</v>
      </c>
      <c r="C5" s="25" t="s">
        <v>223</v>
      </c>
      <c r="D5" s="25" t="s">
        <v>224</v>
      </c>
    </row>
    <row r="6" customFormat="false" ht="26.85" hidden="false" customHeight="false" outlineLevel="0" collapsed="false">
      <c r="A6" s="25" t="s">
        <v>225</v>
      </c>
      <c r="B6" s="25" t="s">
        <v>226</v>
      </c>
      <c r="C6" s="25" t="s">
        <v>227</v>
      </c>
      <c r="D6" s="25" t="s">
        <v>228</v>
      </c>
    </row>
    <row r="7" customFormat="false" ht="26.85" hidden="false" customHeight="false" outlineLevel="0" collapsed="false">
      <c r="A7" s="25" t="s">
        <v>229</v>
      </c>
      <c r="B7" s="25" t="s">
        <v>230</v>
      </c>
      <c r="C7" s="25" t="s">
        <v>231</v>
      </c>
      <c r="D7" s="25" t="s">
        <v>232</v>
      </c>
    </row>
    <row r="8" customFormat="false" ht="26.85" hidden="false" customHeight="false" outlineLevel="0" collapsed="false">
      <c r="A8" s="25" t="s">
        <v>233</v>
      </c>
      <c r="B8" s="25" t="s">
        <v>234</v>
      </c>
      <c r="C8" s="25" t="s">
        <v>235</v>
      </c>
      <c r="D8" s="25" t="s">
        <v>236</v>
      </c>
    </row>
    <row r="9" customFormat="false" ht="26.85" hidden="false" customHeight="false" outlineLevel="0" collapsed="false">
      <c r="A9" s="25" t="s">
        <v>91</v>
      </c>
      <c r="B9" s="25" t="s">
        <v>237</v>
      </c>
      <c r="C9" s="25" t="s">
        <v>238</v>
      </c>
      <c r="D9" s="25" t="s">
        <v>239</v>
      </c>
    </row>
    <row r="10" customFormat="false" ht="26.85" hidden="false" customHeight="false" outlineLevel="0" collapsed="false">
      <c r="A10" s="25" t="s">
        <v>98</v>
      </c>
      <c r="B10" s="25" t="s">
        <v>240</v>
      </c>
      <c r="C10" s="25" t="s">
        <v>241</v>
      </c>
      <c r="D10" s="25" t="s">
        <v>242</v>
      </c>
    </row>
    <row r="11" customFormat="false" ht="26.85" hidden="false" customHeight="false" outlineLevel="0" collapsed="false">
      <c r="A11" s="25" t="s">
        <v>107</v>
      </c>
      <c r="B11" s="25" t="s">
        <v>243</v>
      </c>
      <c r="C11" s="25" t="s">
        <v>244</v>
      </c>
      <c r="D11" s="25" t="s">
        <v>245</v>
      </c>
    </row>
    <row r="12" customFormat="false" ht="26.85" hidden="false" customHeight="false" outlineLevel="0" collapsed="false">
      <c r="A12" s="25" t="s">
        <v>125</v>
      </c>
      <c r="B12" s="25" t="s">
        <v>246</v>
      </c>
      <c r="C12" s="25" t="s">
        <v>247</v>
      </c>
      <c r="D12" s="25" t="s">
        <v>248</v>
      </c>
    </row>
    <row r="13" customFormat="false" ht="26.85" hidden="false" customHeight="false" outlineLevel="0" collapsed="false">
      <c r="A13" s="25" t="s">
        <v>146</v>
      </c>
      <c r="B13" s="25" t="s">
        <v>249</v>
      </c>
      <c r="C13" s="25" t="s">
        <v>250</v>
      </c>
      <c r="D13" s="25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252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18" t="s">
        <v>253</v>
      </c>
      <c r="B3" s="18" t="s">
        <v>254</v>
      </c>
    </row>
    <row r="4" customFormat="false" ht="15" hidden="false" customHeight="false" outlineLevel="0" collapsed="false">
      <c r="A4" s="18" t="s">
        <v>255</v>
      </c>
      <c r="B4" s="18" t="s">
        <v>256</v>
      </c>
    </row>
    <row r="5" customFormat="false" ht="15" hidden="false" customHeight="false" outlineLevel="0" collapsed="false">
      <c r="A5" s="18" t="s">
        <v>257</v>
      </c>
      <c r="B5" s="18" t="s">
        <v>258</v>
      </c>
    </row>
    <row r="6" customFormat="false" ht="15" hidden="false" customHeight="false" outlineLevel="0" collapsed="false">
      <c r="A6" s="18" t="s">
        <v>259</v>
      </c>
      <c r="B6" s="18" t="s">
        <v>260</v>
      </c>
    </row>
    <row r="7" customFormat="false" ht="15" hidden="false" customHeight="false" outlineLevel="0" collapsed="false">
      <c r="A7" s="18" t="s">
        <v>261</v>
      </c>
      <c r="B7" s="18" t="s">
        <v>262</v>
      </c>
    </row>
    <row r="8" customFormat="false" ht="15" hidden="false" customHeight="false" outlineLevel="0" collapsed="false">
      <c r="A8" s="18" t="s">
        <v>263</v>
      </c>
      <c r="B8" s="18" t="s">
        <v>264</v>
      </c>
    </row>
    <row r="9" customFormat="false" ht="15" hidden="false" customHeight="false" outlineLevel="0" collapsed="false">
      <c r="A9" s="18" t="s">
        <v>265</v>
      </c>
      <c r="B9" s="18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2026-10-17T11:41:23Z</dcterms:created>
  <dc:creator>openpyxl</dc:creator>
  <dc:description/>
  <dc:language>en-US</dc:language>
  <cp:lastModifiedBy/>
  <dcterms:modified xsi:type="dcterms:W3CDTF">2026-10-17T11:41:23Z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